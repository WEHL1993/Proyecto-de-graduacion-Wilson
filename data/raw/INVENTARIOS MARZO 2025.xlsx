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Escritorio\Planillas semanales\"/>
    </mc:Choice>
  </mc:AlternateContent>
  <bookViews>
    <workbookView xWindow="20370" yWindow="-2205" windowWidth="29040" windowHeight="15840" firstSheet="9" activeTab="13"/>
  </bookViews>
  <sheets>
    <sheet name="06-03-25" sheetId="27" r:id="rId1"/>
    <sheet name="Hoja2" sheetId="26" r:id="rId2"/>
    <sheet name="13-03-25" sheetId="28" r:id="rId3"/>
    <sheet name="14-03-25" sheetId="29" r:id="rId4"/>
    <sheet name="15-03-25" sheetId="30" r:id="rId5"/>
    <sheet name="18-03-25" sheetId="31" r:id="rId6"/>
    <sheet name="19-03-25" sheetId="32" r:id="rId7"/>
    <sheet name="20-03-25" sheetId="33" r:id="rId8"/>
    <sheet name="24-03-25" sheetId="34" r:id="rId9"/>
    <sheet name="25-03-25" sheetId="35" r:id="rId10"/>
    <sheet name="26-03-25" sheetId="36" r:id="rId11"/>
    <sheet name="27-03-25" sheetId="37" r:id="rId12"/>
    <sheet name="29-03-25" sheetId="38" r:id="rId13"/>
    <sheet name="31-03-25" sheetId="39" r:id="rId1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9" l="1"/>
  <c r="M4" i="39"/>
  <c r="M5" i="39"/>
  <c r="M6" i="39"/>
  <c r="M7" i="39"/>
  <c r="M8" i="39"/>
  <c r="M9" i="39"/>
  <c r="M10" i="39"/>
  <c r="M11" i="39"/>
  <c r="M12" i="39"/>
  <c r="M13" i="39"/>
  <c r="M14" i="39"/>
  <c r="M15" i="39"/>
  <c r="M16" i="39"/>
  <c r="M17" i="39"/>
  <c r="M18" i="39"/>
  <c r="M19" i="39"/>
  <c r="M20" i="39"/>
  <c r="M21" i="39"/>
  <c r="M22" i="39"/>
  <c r="M23" i="39"/>
  <c r="M24" i="39"/>
  <c r="M25" i="39"/>
  <c r="M26" i="39"/>
  <c r="M27" i="39"/>
  <c r="M28" i="39"/>
  <c r="M29" i="39"/>
  <c r="M30" i="39"/>
  <c r="M31" i="39"/>
  <c r="M32" i="39"/>
  <c r="M33" i="39"/>
  <c r="M34" i="39"/>
  <c r="M35" i="39"/>
  <c r="M36" i="39"/>
  <c r="M37" i="39"/>
  <c r="M38" i="39"/>
  <c r="M39" i="39"/>
  <c r="M40" i="39"/>
  <c r="M41" i="39"/>
  <c r="M42" i="39"/>
  <c r="M43" i="39"/>
  <c r="M44" i="39"/>
  <c r="M45" i="39"/>
  <c r="M46" i="39"/>
  <c r="M47" i="39"/>
  <c r="M48" i="39"/>
  <c r="M49" i="39"/>
  <c r="M50" i="39"/>
  <c r="M51" i="39"/>
  <c r="M52" i="39"/>
  <c r="M53" i="39"/>
  <c r="M54" i="39"/>
  <c r="M55" i="39"/>
  <c r="M56" i="39"/>
  <c r="M57" i="39"/>
  <c r="M58" i="39"/>
  <c r="M59" i="39"/>
  <c r="M60" i="39"/>
  <c r="M61" i="39"/>
  <c r="M62" i="39"/>
  <c r="M63" i="39"/>
  <c r="M64" i="39"/>
  <c r="M65" i="39"/>
  <c r="M66" i="39"/>
  <c r="M67" i="39"/>
  <c r="M68" i="39"/>
  <c r="M69" i="39"/>
  <c r="M70" i="39"/>
  <c r="M71" i="39"/>
  <c r="M72" i="39"/>
  <c r="M73" i="39"/>
  <c r="M74" i="39"/>
  <c r="M75" i="39"/>
  <c r="M76" i="39"/>
  <c r="M77" i="39"/>
  <c r="M78" i="39"/>
  <c r="M79" i="39"/>
  <c r="M80" i="39"/>
  <c r="M81" i="39"/>
  <c r="M82" i="39"/>
  <c r="M83" i="39"/>
  <c r="M84" i="39"/>
  <c r="M85" i="39"/>
  <c r="M86" i="39"/>
  <c r="M87" i="39"/>
  <c r="M88" i="39"/>
  <c r="M89" i="39"/>
  <c r="M90" i="39"/>
  <c r="M91" i="39"/>
  <c r="M92" i="39"/>
  <c r="M93" i="39"/>
  <c r="M94" i="39"/>
  <c r="M95" i="39"/>
  <c r="M96" i="39"/>
  <c r="M97" i="39"/>
  <c r="M98" i="39"/>
  <c r="M99" i="39"/>
  <c r="M100" i="39"/>
  <c r="M101" i="39"/>
  <c r="M102" i="39"/>
  <c r="M103" i="39"/>
  <c r="M104" i="39"/>
  <c r="M105" i="39"/>
  <c r="M106" i="39"/>
  <c r="M107" i="39"/>
  <c r="M108" i="39"/>
  <c r="M109" i="39"/>
  <c r="M110" i="39"/>
  <c r="M111" i="39"/>
  <c r="M112" i="39"/>
  <c r="M113" i="39"/>
  <c r="M114" i="39"/>
  <c r="M115" i="39"/>
  <c r="M116" i="39"/>
  <c r="M117" i="39"/>
  <c r="M118" i="39"/>
  <c r="M119" i="39"/>
  <c r="M120" i="39"/>
  <c r="M121" i="39"/>
  <c r="M122" i="39"/>
  <c r="M123" i="39"/>
  <c r="M124" i="39"/>
  <c r="M125" i="39"/>
  <c r="M126" i="39"/>
  <c r="M127" i="39"/>
  <c r="M128" i="39"/>
  <c r="M129" i="39"/>
  <c r="M130" i="39"/>
  <c r="M131" i="39"/>
  <c r="M132" i="39"/>
  <c r="M133" i="39"/>
  <c r="M134" i="39"/>
  <c r="M135" i="39"/>
  <c r="M136" i="39"/>
  <c r="M137" i="39"/>
  <c r="M138" i="39"/>
  <c r="M139" i="39"/>
  <c r="M140" i="39"/>
  <c r="M141" i="39"/>
  <c r="M142" i="39"/>
  <c r="M143" i="39"/>
  <c r="M144" i="39"/>
  <c r="M145" i="39"/>
  <c r="M146" i="39"/>
  <c r="M147" i="39"/>
  <c r="M148" i="39"/>
  <c r="M149" i="39"/>
  <c r="M150" i="39"/>
  <c r="M151" i="39"/>
  <c r="M152" i="39"/>
  <c r="M153" i="39"/>
  <c r="M154" i="39"/>
  <c r="M155" i="39"/>
  <c r="M156" i="39"/>
  <c r="M157" i="39"/>
  <c r="M158" i="39"/>
  <c r="M159" i="39"/>
  <c r="M160" i="39"/>
  <c r="M161" i="39"/>
  <c r="M162" i="39"/>
  <c r="M163" i="39"/>
  <c r="M164" i="39"/>
  <c r="M165" i="39"/>
  <c r="M166" i="39"/>
  <c r="M167" i="39"/>
  <c r="M168" i="39"/>
  <c r="M169" i="39"/>
  <c r="M170" i="39"/>
  <c r="M171" i="39"/>
  <c r="M172" i="39"/>
  <c r="M173" i="39"/>
  <c r="M174" i="39"/>
  <c r="M175" i="39"/>
  <c r="M176" i="39"/>
  <c r="M177" i="39"/>
  <c r="M178" i="39"/>
  <c r="M179" i="39"/>
  <c r="M180" i="39"/>
  <c r="M181" i="39"/>
  <c r="M182" i="39"/>
  <c r="M183" i="39"/>
  <c r="M184" i="39"/>
  <c r="L184" i="39" l="1"/>
  <c r="E189" i="39"/>
  <c r="E188" i="39"/>
  <c r="E187" i="39"/>
  <c r="I184" i="39"/>
  <c r="I183" i="39"/>
  <c r="I182" i="39"/>
  <c r="I181" i="39"/>
  <c r="I180" i="39"/>
  <c r="I179" i="39"/>
  <c r="I178" i="39"/>
  <c r="I177" i="39"/>
  <c r="I176" i="39"/>
  <c r="I175" i="39"/>
  <c r="I174" i="39"/>
  <c r="I173" i="39"/>
  <c r="I172" i="39"/>
  <c r="I171" i="39"/>
  <c r="I170" i="39"/>
  <c r="I169" i="39"/>
  <c r="I168" i="39"/>
  <c r="I167" i="39"/>
  <c r="I166" i="39"/>
  <c r="I165" i="39"/>
  <c r="I164" i="39"/>
  <c r="I163" i="39"/>
  <c r="I162" i="39"/>
  <c r="I161" i="39"/>
  <c r="I160" i="39"/>
  <c r="I159" i="39"/>
  <c r="I158" i="39"/>
  <c r="I157" i="39"/>
  <c r="I156" i="39"/>
  <c r="I155" i="39"/>
  <c r="I154" i="39"/>
  <c r="I153" i="39"/>
  <c r="I152" i="39"/>
  <c r="I151" i="39"/>
  <c r="I150" i="39"/>
  <c r="I149" i="39"/>
  <c r="I148" i="39"/>
  <c r="I147" i="39"/>
  <c r="I146" i="39"/>
  <c r="I145" i="39"/>
  <c r="I144" i="39"/>
  <c r="I143" i="39"/>
  <c r="I142" i="39"/>
  <c r="I141" i="39"/>
  <c r="I140" i="39"/>
  <c r="I139" i="39"/>
  <c r="I138" i="39"/>
  <c r="I137" i="39"/>
  <c r="I136" i="39"/>
  <c r="I135" i="39"/>
  <c r="I134" i="39"/>
  <c r="I133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K103" i="39" s="1"/>
  <c r="I102" i="39"/>
  <c r="I101" i="39"/>
  <c r="K101" i="39" s="1"/>
  <c r="I100" i="39"/>
  <c r="N100" i="39" s="1"/>
  <c r="I99" i="39"/>
  <c r="K99" i="39" s="1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9" i="39"/>
  <c r="I8" i="39"/>
  <c r="I7" i="39"/>
  <c r="I6" i="39"/>
  <c r="I5" i="39"/>
  <c r="I4" i="39"/>
  <c r="I3" i="39"/>
  <c r="I2" i="39"/>
  <c r="M2" i="39" s="1"/>
  <c r="N42" i="39" l="1"/>
  <c r="K45" i="39"/>
  <c r="K21" i="39"/>
  <c r="N77" i="39"/>
  <c r="N33" i="39"/>
  <c r="N89" i="39"/>
  <c r="N10" i="39"/>
  <c r="K13" i="39"/>
  <c r="N49" i="39"/>
  <c r="K81" i="39"/>
  <c r="N93" i="39"/>
  <c r="K5" i="39"/>
  <c r="N13" i="39"/>
  <c r="N26" i="39"/>
  <c r="K29" i="39"/>
  <c r="N34" i="39"/>
  <c r="K37" i="39"/>
  <c r="N5" i="39"/>
  <c r="N17" i="39"/>
  <c r="N29" i="39"/>
  <c r="N50" i="39"/>
  <c r="K53" i="39"/>
  <c r="N86" i="39"/>
  <c r="K89" i="39"/>
  <c r="N6" i="39"/>
  <c r="K9" i="39"/>
  <c r="N22" i="39"/>
  <c r="K25" i="39"/>
  <c r="N38" i="39"/>
  <c r="K41" i="39"/>
  <c r="N45" i="39"/>
  <c r="N54" i="39"/>
  <c r="N56" i="39"/>
  <c r="N82" i="39"/>
  <c r="K85" i="39"/>
  <c r="N98" i="39"/>
  <c r="N2" i="39"/>
  <c r="N9" i="39"/>
  <c r="N18" i="39"/>
  <c r="N25" i="39"/>
  <c r="N41" i="39"/>
  <c r="N78" i="39"/>
  <c r="N85" i="39"/>
  <c r="N94" i="39"/>
  <c r="K97" i="39"/>
  <c r="N14" i="39"/>
  <c r="K17" i="39"/>
  <c r="N21" i="39"/>
  <c r="N30" i="39"/>
  <c r="K33" i="39"/>
  <c r="N37" i="39"/>
  <c r="N46" i="39"/>
  <c r="K49" i="39"/>
  <c r="N53" i="39"/>
  <c r="N55" i="39"/>
  <c r="K77" i="39"/>
  <c r="N81" i="39"/>
  <c r="N90" i="39"/>
  <c r="K93" i="39"/>
  <c r="N97" i="39"/>
  <c r="K8" i="39"/>
  <c r="K12" i="39"/>
  <c r="K16" i="39"/>
  <c r="K20" i="39"/>
  <c r="K24" i="39"/>
  <c r="K28" i="39"/>
  <c r="K32" i="39"/>
  <c r="K36" i="39"/>
  <c r="K40" i="39"/>
  <c r="K44" i="39"/>
  <c r="K48" i="39"/>
  <c r="K52" i="39"/>
  <c r="N58" i="39"/>
  <c r="N62" i="39"/>
  <c r="N66" i="39"/>
  <c r="N70" i="39"/>
  <c r="N74" i="39"/>
  <c r="K76" i="39"/>
  <c r="K80" i="39"/>
  <c r="K84" i="39"/>
  <c r="K88" i="39"/>
  <c r="K92" i="39"/>
  <c r="K96" i="39"/>
  <c r="N105" i="39"/>
  <c r="K3" i="39"/>
  <c r="N4" i="39"/>
  <c r="K7" i="39"/>
  <c r="N8" i="39"/>
  <c r="K11" i="39"/>
  <c r="N12" i="39"/>
  <c r="K15" i="39"/>
  <c r="N16" i="39"/>
  <c r="K19" i="39"/>
  <c r="N20" i="39"/>
  <c r="K23" i="39"/>
  <c r="N24" i="39"/>
  <c r="K27" i="39"/>
  <c r="N28" i="39"/>
  <c r="K31" i="39"/>
  <c r="N32" i="39"/>
  <c r="K35" i="39"/>
  <c r="N36" i="39"/>
  <c r="K39" i="39"/>
  <c r="N40" i="39"/>
  <c r="K43" i="39"/>
  <c r="N44" i="39"/>
  <c r="K47" i="39"/>
  <c r="N48" i="39"/>
  <c r="K51" i="39"/>
  <c r="N52" i="39"/>
  <c r="K55" i="39"/>
  <c r="K56" i="39"/>
  <c r="K57" i="39"/>
  <c r="K61" i="39"/>
  <c r="K65" i="39"/>
  <c r="K69" i="39"/>
  <c r="K73" i="39"/>
  <c r="N76" i="39"/>
  <c r="K79" i="39"/>
  <c r="N80" i="39"/>
  <c r="K83" i="39"/>
  <c r="N84" i="39"/>
  <c r="K87" i="39"/>
  <c r="N88" i="39"/>
  <c r="K91" i="39"/>
  <c r="N92" i="39"/>
  <c r="K95" i="39"/>
  <c r="N96" i="39"/>
  <c r="K108" i="39"/>
  <c r="K4" i="39"/>
  <c r="K2" i="39"/>
  <c r="N3" i="39"/>
  <c r="K6" i="39"/>
  <c r="N7" i="39"/>
  <c r="K10" i="39"/>
  <c r="N11" i="39"/>
  <c r="K14" i="39"/>
  <c r="N15" i="39"/>
  <c r="K18" i="39"/>
  <c r="N19" i="39"/>
  <c r="K22" i="39"/>
  <c r="N23" i="39"/>
  <c r="K26" i="39"/>
  <c r="N27" i="39"/>
  <c r="K30" i="39"/>
  <c r="N31" i="39"/>
  <c r="K34" i="39"/>
  <c r="N35" i="39"/>
  <c r="K38" i="39"/>
  <c r="N39" i="39"/>
  <c r="K42" i="39"/>
  <c r="N43" i="39"/>
  <c r="K46" i="39"/>
  <c r="N47" i="39"/>
  <c r="K50" i="39"/>
  <c r="N51" i="39"/>
  <c r="K54" i="39"/>
  <c r="N57" i="39"/>
  <c r="K59" i="39"/>
  <c r="N61" i="39"/>
  <c r="K63" i="39"/>
  <c r="N65" i="39"/>
  <c r="K67" i="39"/>
  <c r="N69" i="39"/>
  <c r="K71" i="39"/>
  <c r="N73" i="39"/>
  <c r="K75" i="39"/>
  <c r="K78" i="39"/>
  <c r="N79" i="39"/>
  <c r="K82" i="39"/>
  <c r="N83" i="39"/>
  <c r="K86" i="39"/>
  <c r="N87" i="39"/>
  <c r="K90" i="39"/>
  <c r="N91" i="39"/>
  <c r="K94" i="39"/>
  <c r="N95" i="39"/>
  <c r="K98" i="39"/>
  <c r="N101" i="39"/>
  <c r="K106" i="39"/>
  <c r="N108" i="39"/>
  <c r="K102" i="39"/>
  <c r="K104" i="39"/>
  <c r="N110" i="39"/>
  <c r="K110" i="39"/>
  <c r="N114" i="39"/>
  <c r="K114" i="39"/>
  <c r="N118" i="39"/>
  <c r="K118" i="39"/>
  <c r="N122" i="39"/>
  <c r="K122" i="39"/>
  <c r="N126" i="39"/>
  <c r="K126" i="39"/>
  <c r="N130" i="39"/>
  <c r="K130" i="39"/>
  <c r="N134" i="39"/>
  <c r="K134" i="39"/>
  <c r="N138" i="39"/>
  <c r="K138" i="39"/>
  <c r="N142" i="39"/>
  <c r="K142" i="39"/>
  <c r="N146" i="39"/>
  <c r="K146" i="39"/>
  <c r="N150" i="39"/>
  <c r="K150" i="39"/>
  <c r="N154" i="39"/>
  <c r="K154" i="39"/>
  <c r="N158" i="39"/>
  <c r="K158" i="39"/>
  <c r="N162" i="39"/>
  <c r="K162" i="39"/>
  <c r="N166" i="39"/>
  <c r="K166" i="39"/>
  <c r="N170" i="39"/>
  <c r="K170" i="39"/>
  <c r="N174" i="39"/>
  <c r="K174" i="39"/>
  <c r="N178" i="39"/>
  <c r="K178" i="39"/>
  <c r="N182" i="39"/>
  <c r="K182" i="39"/>
  <c r="K60" i="39"/>
  <c r="K64" i="39"/>
  <c r="K68" i="39"/>
  <c r="K72" i="39"/>
  <c r="N102" i="39"/>
  <c r="N104" i="39"/>
  <c r="N60" i="39"/>
  <c r="N64" i="39"/>
  <c r="N68" i="39"/>
  <c r="N72" i="39"/>
  <c r="K107" i="39"/>
  <c r="N112" i="39"/>
  <c r="K112" i="39"/>
  <c r="N116" i="39"/>
  <c r="K116" i="39"/>
  <c r="N120" i="39"/>
  <c r="K120" i="39"/>
  <c r="N124" i="39"/>
  <c r="K124" i="39"/>
  <c r="N128" i="39"/>
  <c r="K128" i="39"/>
  <c r="N132" i="39"/>
  <c r="K132" i="39"/>
  <c r="N136" i="39"/>
  <c r="K136" i="39"/>
  <c r="N140" i="39"/>
  <c r="K140" i="39"/>
  <c r="N144" i="39"/>
  <c r="K144" i="39"/>
  <c r="N148" i="39"/>
  <c r="K148" i="39"/>
  <c r="N152" i="39"/>
  <c r="K152" i="39"/>
  <c r="N156" i="39"/>
  <c r="K156" i="39"/>
  <c r="N160" i="39"/>
  <c r="K160" i="39"/>
  <c r="N164" i="39"/>
  <c r="K164" i="39"/>
  <c r="N168" i="39"/>
  <c r="K168" i="39"/>
  <c r="N172" i="39"/>
  <c r="K172" i="39"/>
  <c r="N176" i="39"/>
  <c r="K176" i="39"/>
  <c r="N180" i="39"/>
  <c r="K180" i="39"/>
  <c r="N184" i="39"/>
  <c r="K184" i="39"/>
  <c r="K58" i="39"/>
  <c r="N59" i="39"/>
  <c r="K62" i="39"/>
  <c r="N63" i="39"/>
  <c r="K66" i="39"/>
  <c r="N67" i="39"/>
  <c r="K70" i="39"/>
  <c r="N71" i="39"/>
  <c r="K74" i="39"/>
  <c r="N75" i="39"/>
  <c r="K100" i="39"/>
  <c r="N107" i="39"/>
  <c r="N109" i="39"/>
  <c r="N111" i="39"/>
  <c r="N113" i="39"/>
  <c r="N115" i="39"/>
  <c r="N117" i="39"/>
  <c r="N119" i="39"/>
  <c r="N121" i="39"/>
  <c r="N123" i="39"/>
  <c r="N125" i="39"/>
  <c r="N127" i="39"/>
  <c r="N129" i="39"/>
  <c r="N131" i="39"/>
  <c r="N133" i="39"/>
  <c r="N135" i="39"/>
  <c r="N137" i="39"/>
  <c r="N139" i="39"/>
  <c r="N141" i="39"/>
  <c r="N143" i="39"/>
  <c r="N145" i="39"/>
  <c r="N147" i="39"/>
  <c r="N149" i="39"/>
  <c r="N151" i="39"/>
  <c r="N153" i="39"/>
  <c r="N155" i="39"/>
  <c r="N157" i="39"/>
  <c r="N159" i="39"/>
  <c r="N161" i="39"/>
  <c r="N163" i="39"/>
  <c r="N165" i="39"/>
  <c r="N167" i="39"/>
  <c r="N169" i="39"/>
  <c r="N171" i="39"/>
  <c r="N173" i="39"/>
  <c r="N175" i="39"/>
  <c r="N177" i="39"/>
  <c r="N179" i="39"/>
  <c r="N181" i="39"/>
  <c r="N183" i="39"/>
  <c r="N99" i="39"/>
  <c r="N103" i="39"/>
  <c r="N106" i="39"/>
  <c r="K109" i="39"/>
  <c r="K111" i="39"/>
  <c r="K113" i="39"/>
  <c r="K115" i="39"/>
  <c r="K117" i="39"/>
  <c r="K119" i="39"/>
  <c r="K121" i="39"/>
  <c r="K123" i="39"/>
  <c r="K125" i="39"/>
  <c r="K127" i="39"/>
  <c r="K129" i="39"/>
  <c r="K131" i="39"/>
  <c r="K133" i="39"/>
  <c r="K135" i="39"/>
  <c r="K137" i="39"/>
  <c r="K139" i="39"/>
  <c r="K141" i="39"/>
  <c r="K143" i="39"/>
  <c r="K145" i="39"/>
  <c r="K147" i="39"/>
  <c r="K149" i="39"/>
  <c r="K151" i="39"/>
  <c r="K153" i="39"/>
  <c r="K155" i="39"/>
  <c r="K157" i="39"/>
  <c r="K159" i="39"/>
  <c r="K161" i="39"/>
  <c r="K163" i="39"/>
  <c r="K165" i="39"/>
  <c r="K167" i="39"/>
  <c r="K169" i="39"/>
  <c r="K171" i="39"/>
  <c r="K173" i="39"/>
  <c r="K175" i="39"/>
  <c r="K177" i="39"/>
  <c r="K179" i="39"/>
  <c r="K181" i="39"/>
  <c r="K183" i="39"/>
  <c r="E189" i="38"/>
  <c r="E188" i="38"/>
  <c r="E187" i="38"/>
  <c r="N185" i="39" l="1"/>
  <c r="N3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N20" i="38"/>
  <c r="N21" i="38"/>
  <c r="N22" i="38"/>
  <c r="N23" i="38"/>
  <c r="N24" i="38"/>
  <c r="N25" i="38"/>
  <c r="N26" i="38"/>
  <c r="N27" i="38"/>
  <c r="N28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81" i="38"/>
  <c r="N82" i="38"/>
  <c r="N83" i="38"/>
  <c r="N84" i="38"/>
  <c r="N85" i="38"/>
  <c r="N86" i="38"/>
  <c r="N87" i="38"/>
  <c r="N88" i="38"/>
  <c r="N89" i="38"/>
  <c r="N90" i="38"/>
  <c r="N91" i="38"/>
  <c r="N92" i="38"/>
  <c r="N93" i="38"/>
  <c r="N94" i="38"/>
  <c r="N95" i="38"/>
  <c r="N96" i="38"/>
  <c r="N97" i="38"/>
  <c r="N98" i="38"/>
  <c r="N99" i="38"/>
  <c r="N100" i="38"/>
  <c r="N101" i="38"/>
  <c r="N102" i="38"/>
  <c r="N103" i="38"/>
  <c r="N104" i="38"/>
  <c r="N105" i="38"/>
  <c r="N106" i="38"/>
  <c r="N107" i="38"/>
  <c r="N108" i="38"/>
  <c r="N109" i="38"/>
  <c r="N110" i="38"/>
  <c r="N111" i="38"/>
  <c r="N112" i="38"/>
  <c r="N113" i="38"/>
  <c r="N114" i="38"/>
  <c r="N115" i="38"/>
  <c r="N116" i="38"/>
  <c r="N117" i="38"/>
  <c r="N118" i="38"/>
  <c r="N119" i="38"/>
  <c r="N120" i="38"/>
  <c r="N121" i="38"/>
  <c r="N122" i="38"/>
  <c r="N123" i="38"/>
  <c r="N124" i="38"/>
  <c r="N125" i="38"/>
  <c r="N126" i="38"/>
  <c r="N127" i="38"/>
  <c r="N128" i="38"/>
  <c r="N129" i="38"/>
  <c r="N130" i="38"/>
  <c r="N131" i="38"/>
  <c r="N132" i="38"/>
  <c r="N133" i="38"/>
  <c r="N134" i="38"/>
  <c r="N135" i="38"/>
  <c r="N136" i="38"/>
  <c r="N137" i="38"/>
  <c r="N138" i="38"/>
  <c r="N139" i="38"/>
  <c r="N140" i="38"/>
  <c r="N141" i="38"/>
  <c r="N142" i="38"/>
  <c r="N143" i="38"/>
  <c r="N144" i="38"/>
  <c r="N145" i="38"/>
  <c r="N146" i="38"/>
  <c r="N147" i="38"/>
  <c r="N148" i="38"/>
  <c r="N149" i="38"/>
  <c r="N150" i="38"/>
  <c r="N151" i="38"/>
  <c r="N152" i="38"/>
  <c r="N153" i="38"/>
  <c r="N154" i="38"/>
  <c r="N155" i="38"/>
  <c r="N156" i="38"/>
  <c r="N157" i="38"/>
  <c r="N158" i="38"/>
  <c r="N159" i="38"/>
  <c r="N160" i="38"/>
  <c r="N161" i="38"/>
  <c r="N162" i="38"/>
  <c r="N163" i="38"/>
  <c r="N164" i="38"/>
  <c r="N165" i="38"/>
  <c r="N166" i="38"/>
  <c r="N167" i="38"/>
  <c r="N168" i="38"/>
  <c r="N169" i="38"/>
  <c r="N170" i="38"/>
  <c r="N171" i="38"/>
  <c r="N172" i="38"/>
  <c r="N173" i="38"/>
  <c r="N174" i="38"/>
  <c r="N175" i="38"/>
  <c r="N176" i="38"/>
  <c r="N177" i="38"/>
  <c r="N178" i="38"/>
  <c r="N179" i="38"/>
  <c r="N180" i="38"/>
  <c r="N181" i="38"/>
  <c r="N182" i="38"/>
  <c r="N183" i="38"/>
  <c r="N184" i="38"/>
  <c r="N2" i="38"/>
  <c r="L184" i="38"/>
  <c r="K68" i="38"/>
  <c r="I68" i="38"/>
  <c r="M68" i="38" l="1"/>
  <c r="I184" i="38" l="1"/>
  <c r="K184" i="38" s="1"/>
  <c r="I183" i="38"/>
  <c r="K183" i="38" s="1"/>
  <c r="I182" i="38"/>
  <c r="K182" i="38" s="1"/>
  <c r="I181" i="38"/>
  <c r="K181" i="38" s="1"/>
  <c r="I180" i="38"/>
  <c r="K180" i="38" s="1"/>
  <c r="I179" i="38"/>
  <c r="K179" i="38" s="1"/>
  <c r="I178" i="38"/>
  <c r="K178" i="38" s="1"/>
  <c r="I177" i="38"/>
  <c r="K177" i="38" s="1"/>
  <c r="I176" i="38"/>
  <c r="K176" i="38" s="1"/>
  <c r="I175" i="38"/>
  <c r="K175" i="38" s="1"/>
  <c r="I174" i="38"/>
  <c r="K174" i="38" s="1"/>
  <c r="I173" i="38"/>
  <c r="K173" i="38" s="1"/>
  <c r="I172" i="38"/>
  <c r="K172" i="38" s="1"/>
  <c r="I171" i="38"/>
  <c r="K171" i="38" s="1"/>
  <c r="I170" i="38"/>
  <c r="K170" i="38" s="1"/>
  <c r="I169" i="38"/>
  <c r="I168" i="38"/>
  <c r="K168" i="38" s="1"/>
  <c r="I167" i="38"/>
  <c r="K167" i="38" s="1"/>
  <c r="I166" i="38"/>
  <c r="K166" i="38" s="1"/>
  <c r="I165" i="38"/>
  <c r="I164" i="38"/>
  <c r="K164" i="38" s="1"/>
  <c r="I163" i="38"/>
  <c r="K163" i="38" s="1"/>
  <c r="I162" i="38"/>
  <c r="K162" i="38" s="1"/>
  <c r="I161" i="38"/>
  <c r="I160" i="38"/>
  <c r="K160" i="38" s="1"/>
  <c r="I159" i="38"/>
  <c r="K159" i="38" s="1"/>
  <c r="I158" i="38"/>
  <c r="K158" i="38" s="1"/>
  <c r="I157" i="38"/>
  <c r="I156" i="38"/>
  <c r="K156" i="38" s="1"/>
  <c r="I155" i="38"/>
  <c r="K155" i="38" s="1"/>
  <c r="I154" i="38"/>
  <c r="K154" i="38" s="1"/>
  <c r="I153" i="38"/>
  <c r="I152" i="38"/>
  <c r="K152" i="38" s="1"/>
  <c r="I151" i="38"/>
  <c r="K151" i="38" s="1"/>
  <c r="I150" i="38"/>
  <c r="K150" i="38" s="1"/>
  <c r="I149" i="38"/>
  <c r="I148" i="38"/>
  <c r="K148" i="38" s="1"/>
  <c r="I147" i="38"/>
  <c r="K147" i="38" s="1"/>
  <c r="I146" i="38"/>
  <c r="K146" i="38" s="1"/>
  <c r="I145" i="38"/>
  <c r="I144" i="38"/>
  <c r="K144" i="38" s="1"/>
  <c r="I143" i="38"/>
  <c r="K143" i="38" s="1"/>
  <c r="I142" i="38"/>
  <c r="K142" i="38" s="1"/>
  <c r="I141" i="38"/>
  <c r="I140" i="38"/>
  <c r="K140" i="38" s="1"/>
  <c r="I139" i="38"/>
  <c r="K139" i="38" s="1"/>
  <c r="I138" i="38"/>
  <c r="K138" i="38" s="1"/>
  <c r="I137" i="38"/>
  <c r="I136" i="38"/>
  <c r="K136" i="38" s="1"/>
  <c r="I135" i="38"/>
  <c r="K135" i="38" s="1"/>
  <c r="I134" i="38"/>
  <c r="K134" i="38" s="1"/>
  <c r="I133" i="38"/>
  <c r="I132" i="38"/>
  <c r="K132" i="38" s="1"/>
  <c r="I131" i="38"/>
  <c r="K131" i="38" s="1"/>
  <c r="I130" i="38"/>
  <c r="K130" i="38" s="1"/>
  <c r="I129" i="38"/>
  <c r="M128" i="38"/>
  <c r="I128" i="38"/>
  <c r="K128" i="38" s="1"/>
  <c r="I127" i="38"/>
  <c r="K127" i="38" s="1"/>
  <c r="I126" i="38"/>
  <c r="K126" i="38" s="1"/>
  <c r="I125" i="38"/>
  <c r="I124" i="38"/>
  <c r="K124" i="38" s="1"/>
  <c r="I123" i="38"/>
  <c r="K123" i="38" s="1"/>
  <c r="I122" i="38"/>
  <c r="K122" i="38" s="1"/>
  <c r="I121" i="38"/>
  <c r="I120" i="38"/>
  <c r="K120" i="38" s="1"/>
  <c r="I119" i="38"/>
  <c r="K119" i="38" s="1"/>
  <c r="I118" i="38"/>
  <c r="K118" i="38" s="1"/>
  <c r="I117" i="38"/>
  <c r="I116" i="38"/>
  <c r="K116" i="38" s="1"/>
  <c r="I115" i="38"/>
  <c r="K115" i="38" s="1"/>
  <c r="I114" i="38"/>
  <c r="K114" i="38" s="1"/>
  <c r="I113" i="38"/>
  <c r="I112" i="38"/>
  <c r="K112" i="38" s="1"/>
  <c r="I111" i="38"/>
  <c r="K111" i="38" s="1"/>
  <c r="I110" i="38"/>
  <c r="K110" i="38" s="1"/>
  <c r="I109" i="38"/>
  <c r="I108" i="38"/>
  <c r="K108" i="38" s="1"/>
  <c r="I107" i="38"/>
  <c r="K107" i="38" s="1"/>
  <c r="I106" i="38"/>
  <c r="K106" i="38" s="1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K51" i="38" s="1"/>
  <c r="I50" i="38"/>
  <c r="K50" i="38" s="1"/>
  <c r="I49" i="38"/>
  <c r="K49" i="38" s="1"/>
  <c r="I48" i="38"/>
  <c r="K48" i="38" s="1"/>
  <c r="I47" i="38"/>
  <c r="K47" i="38" s="1"/>
  <c r="I46" i="38"/>
  <c r="K46" i="38" s="1"/>
  <c r="I45" i="38"/>
  <c r="K45" i="38" s="1"/>
  <c r="I44" i="38"/>
  <c r="K44" i="38" s="1"/>
  <c r="I43" i="38"/>
  <c r="K43" i="38" s="1"/>
  <c r="I42" i="38"/>
  <c r="K42" i="38" s="1"/>
  <c r="I41" i="38"/>
  <c r="K41" i="38" s="1"/>
  <c r="I40" i="38"/>
  <c r="K40" i="38" s="1"/>
  <c r="I39" i="38"/>
  <c r="K39" i="38" s="1"/>
  <c r="I38" i="38"/>
  <c r="K38" i="38" s="1"/>
  <c r="I37" i="38"/>
  <c r="K37" i="38" s="1"/>
  <c r="I36" i="38"/>
  <c r="K36" i="38" s="1"/>
  <c r="I35" i="38"/>
  <c r="K35" i="38" s="1"/>
  <c r="I34" i="38"/>
  <c r="K34" i="38" s="1"/>
  <c r="I33" i="38"/>
  <c r="K33" i="38" s="1"/>
  <c r="I32" i="38"/>
  <c r="K32" i="38" s="1"/>
  <c r="I31" i="38"/>
  <c r="K31" i="38" s="1"/>
  <c r="I30" i="38"/>
  <c r="K30" i="38" s="1"/>
  <c r="I29" i="38"/>
  <c r="K29" i="38" s="1"/>
  <c r="I28" i="38"/>
  <c r="K28" i="38" s="1"/>
  <c r="I27" i="38"/>
  <c r="K27" i="38" s="1"/>
  <c r="I26" i="38"/>
  <c r="K26" i="38" s="1"/>
  <c r="I25" i="38"/>
  <c r="K25" i="38" s="1"/>
  <c r="I24" i="38"/>
  <c r="K24" i="38" s="1"/>
  <c r="I23" i="38"/>
  <c r="K23" i="38" s="1"/>
  <c r="I22" i="38"/>
  <c r="K22" i="38" s="1"/>
  <c r="I21" i="38"/>
  <c r="K21" i="38" s="1"/>
  <c r="I20" i="38"/>
  <c r="K20" i="38" s="1"/>
  <c r="I19" i="38"/>
  <c r="K19" i="38" s="1"/>
  <c r="I18" i="38"/>
  <c r="K18" i="38" s="1"/>
  <c r="I17" i="38"/>
  <c r="K17" i="38" s="1"/>
  <c r="I16" i="38"/>
  <c r="K16" i="38" s="1"/>
  <c r="I15" i="38"/>
  <c r="K15" i="38" s="1"/>
  <c r="I14" i="38"/>
  <c r="K14" i="38" s="1"/>
  <c r="I13" i="38"/>
  <c r="K13" i="38" s="1"/>
  <c r="I12" i="38"/>
  <c r="K12" i="38" s="1"/>
  <c r="I11" i="38"/>
  <c r="K11" i="38" s="1"/>
  <c r="I10" i="38"/>
  <c r="K10" i="38" s="1"/>
  <c r="I9" i="38"/>
  <c r="K9" i="38" s="1"/>
  <c r="I8" i="38"/>
  <c r="K8" i="38" s="1"/>
  <c r="I7" i="38"/>
  <c r="K7" i="38" s="1"/>
  <c r="I6" i="38"/>
  <c r="K6" i="38" s="1"/>
  <c r="I5" i="38"/>
  <c r="K5" i="38" s="1"/>
  <c r="I4" i="38"/>
  <c r="K4" i="38" s="1"/>
  <c r="I3" i="38"/>
  <c r="K3" i="38" s="1"/>
  <c r="I2" i="38"/>
  <c r="K2" i="38" s="1"/>
  <c r="N53" i="38" l="1"/>
  <c r="M53" i="38"/>
  <c r="M106" i="38"/>
  <c r="M108" i="38"/>
  <c r="M140" i="38"/>
  <c r="M138" i="38"/>
  <c r="M170" i="38"/>
  <c r="M173" i="38"/>
  <c r="M175" i="38"/>
  <c r="M179" i="38"/>
  <c r="M164" i="38"/>
  <c r="M166" i="38"/>
  <c r="M146" i="38"/>
  <c r="M148" i="38"/>
  <c r="M162" i="38"/>
  <c r="M177" i="38"/>
  <c r="M181" i="38"/>
  <c r="M2" i="38"/>
  <c r="M4" i="38"/>
  <c r="M6" i="38"/>
  <c r="M8" i="38"/>
  <c r="M10" i="38"/>
  <c r="M12" i="38"/>
  <c r="M14" i="38"/>
  <c r="M16" i="38"/>
  <c r="M18" i="38"/>
  <c r="M20" i="38"/>
  <c r="M22" i="38"/>
  <c r="M24" i="38"/>
  <c r="M26" i="38"/>
  <c r="M28" i="38"/>
  <c r="M30" i="38"/>
  <c r="M32" i="38"/>
  <c r="M34" i="38"/>
  <c r="M36" i="38"/>
  <c r="M38" i="38"/>
  <c r="M40" i="38"/>
  <c r="M42" i="38"/>
  <c r="M44" i="38"/>
  <c r="M46" i="38"/>
  <c r="M48" i="38"/>
  <c r="M50" i="38"/>
  <c r="M110" i="38"/>
  <c r="M130" i="38"/>
  <c r="M142" i="38"/>
  <c r="M144" i="38"/>
  <c r="M158" i="38"/>
  <c r="M160" i="38"/>
  <c r="M176" i="38"/>
  <c r="M180" i="38"/>
  <c r="M126" i="38"/>
  <c r="M154" i="38"/>
  <c r="M156" i="38"/>
  <c r="M183" i="38"/>
  <c r="M3" i="38"/>
  <c r="M5" i="38"/>
  <c r="M7" i="38"/>
  <c r="M9" i="38"/>
  <c r="M11" i="38"/>
  <c r="M13" i="38"/>
  <c r="M15" i="38"/>
  <c r="M17" i="38"/>
  <c r="M19" i="38"/>
  <c r="M21" i="38"/>
  <c r="M23" i="38"/>
  <c r="M25" i="38"/>
  <c r="M27" i="38"/>
  <c r="M29" i="38"/>
  <c r="M31" i="38"/>
  <c r="M33" i="38"/>
  <c r="M35" i="38"/>
  <c r="M37" i="38"/>
  <c r="M39" i="38"/>
  <c r="M41" i="38"/>
  <c r="M43" i="38"/>
  <c r="M45" i="38"/>
  <c r="M47" i="38"/>
  <c r="M49" i="38"/>
  <c r="M51" i="38"/>
  <c r="M114" i="38"/>
  <c r="M116" i="38"/>
  <c r="M118" i="38"/>
  <c r="M120" i="38"/>
  <c r="M122" i="38"/>
  <c r="M124" i="38"/>
  <c r="M134" i="38"/>
  <c r="M136" i="38"/>
  <c r="M150" i="38"/>
  <c r="M152" i="38"/>
  <c r="M174" i="38"/>
  <c r="M178" i="38"/>
  <c r="M182" i="38"/>
  <c r="M184" i="38"/>
  <c r="M59" i="38"/>
  <c r="K59" i="38"/>
  <c r="M67" i="38"/>
  <c r="K67" i="38"/>
  <c r="M76" i="38"/>
  <c r="K76" i="38"/>
  <c r="M84" i="38"/>
  <c r="K84" i="38"/>
  <c r="M88" i="38"/>
  <c r="K88" i="38"/>
  <c r="M96" i="38"/>
  <c r="K96" i="38"/>
  <c r="M104" i="38"/>
  <c r="K104" i="38"/>
  <c r="K109" i="38"/>
  <c r="M109" i="38"/>
  <c r="K129" i="38"/>
  <c r="M129" i="38"/>
  <c r="K141" i="38"/>
  <c r="M141" i="38"/>
  <c r="K157" i="38"/>
  <c r="M157" i="38"/>
  <c r="M56" i="38"/>
  <c r="K56" i="38"/>
  <c r="M60" i="38"/>
  <c r="K60" i="38"/>
  <c r="M64" i="38"/>
  <c r="K64" i="38"/>
  <c r="M69" i="38"/>
  <c r="K69" i="38"/>
  <c r="M73" i="38"/>
  <c r="K73" i="38"/>
  <c r="M77" i="38"/>
  <c r="K77" i="38"/>
  <c r="M81" i="38"/>
  <c r="K81" i="38"/>
  <c r="M85" i="38"/>
  <c r="K85" i="38"/>
  <c r="M89" i="38"/>
  <c r="K89" i="38"/>
  <c r="M93" i="38"/>
  <c r="K93" i="38"/>
  <c r="M97" i="38"/>
  <c r="K97" i="38"/>
  <c r="M101" i="38"/>
  <c r="K101" i="38"/>
  <c r="M105" i="38"/>
  <c r="K125" i="38"/>
  <c r="M125" i="38"/>
  <c r="K137" i="38"/>
  <c r="M137" i="38"/>
  <c r="K153" i="38"/>
  <c r="M153" i="38"/>
  <c r="K169" i="38"/>
  <c r="M169" i="38"/>
  <c r="M55" i="38"/>
  <c r="K55" i="38"/>
  <c r="M92" i="38"/>
  <c r="K92" i="38"/>
  <c r="M52" i="38"/>
  <c r="K52" i="38"/>
  <c r="M54" i="38"/>
  <c r="K54" i="38"/>
  <c r="M57" i="38"/>
  <c r="K57" i="38"/>
  <c r="M61" i="38"/>
  <c r="K61" i="38"/>
  <c r="M65" i="38"/>
  <c r="K65" i="38"/>
  <c r="M70" i="38"/>
  <c r="K70" i="38"/>
  <c r="M74" i="38"/>
  <c r="K74" i="38"/>
  <c r="M78" i="38"/>
  <c r="K78" i="38"/>
  <c r="M82" i="38"/>
  <c r="K82" i="38"/>
  <c r="M86" i="38"/>
  <c r="K86" i="38"/>
  <c r="M90" i="38"/>
  <c r="K90" i="38"/>
  <c r="M94" i="38"/>
  <c r="K94" i="38"/>
  <c r="M98" i="38"/>
  <c r="K98" i="38"/>
  <c r="M102" i="38"/>
  <c r="K102" i="38"/>
  <c r="K113" i="38"/>
  <c r="M113" i="38"/>
  <c r="K117" i="38"/>
  <c r="M117" i="38"/>
  <c r="K121" i="38"/>
  <c r="M121" i="38"/>
  <c r="K133" i="38"/>
  <c r="M133" i="38"/>
  <c r="K149" i="38"/>
  <c r="M149" i="38"/>
  <c r="K53" i="38"/>
  <c r="M63" i="38"/>
  <c r="K63" i="38"/>
  <c r="M72" i="38"/>
  <c r="K72" i="38"/>
  <c r="M80" i="38"/>
  <c r="K80" i="38"/>
  <c r="M100" i="38"/>
  <c r="K100" i="38"/>
  <c r="M58" i="38"/>
  <c r="K58" i="38"/>
  <c r="M62" i="38"/>
  <c r="K62" i="38"/>
  <c r="M66" i="38"/>
  <c r="K66" i="38"/>
  <c r="M71" i="38"/>
  <c r="K71" i="38"/>
  <c r="M75" i="38"/>
  <c r="K75" i="38"/>
  <c r="M79" i="38"/>
  <c r="K79" i="38"/>
  <c r="M83" i="38"/>
  <c r="K83" i="38"/>
  <c r="M87" i="38"/>
  <c r="K87" i="38"/>
  <c r="M91" i="38"/>
  <c r="K91" i="38"/>
  <c r="M95" i="38"/>
  <c r="K95" i="38"/>
  <c r="M99" i="38"/>
  <c r="K99" i="38"/>
  <c r="M103" i="38"/>
  <c r="K103" i="38"/>
  <c r="K145" i="38"/>
  <c r="M145" i="38"/>
  <c r="K161" i="38"/>
  <c r="M161" i="38"/>
  <c r="K165" i="38"/>
  <c r="M165" i="38"/>
  <c r="M112" i="38"/>
  <c r="M132" i="38"/>
  <c r="M168" i="38"/>
  <c r="M172" i="38"/>
  <c r="M107" i="38"/>
  <c r="M111" i="38"/>
  <c r="M115" i="38"/>
  <c r="M119" i="38"/>
  <c r="M123" i="38"/>
  <c r="M127" i="38"/>
  <c r="M131" i="38"/>
  <c r="M135" i="38"/>
  <c r="M139" i="38"/>
  <c r="M143" i="38"/>
  <c r="M147" i="38"/>
  <c r="M151" i="38"/>
  <c r="M155" i="38"/>
  <c r="M159" i="38"/>
  <c r="M163" i="38"/>
  <c r="M167" i="38"/>
  <c r="M171" i="38"/>
  <c r="N186" i="37"/>
  <c r="N3" i="37"/>
  <c r="N4" i="37"/>
  <c r="N5" i="37"/>
  <c r="N6" i="37"/>
  <c r="N7" i="37"/>
  <c r="N8" i="37"/>
  <c r="N9" i="37"/>
  <c r="N10" i="37"/>
  <c r="N11" i="37"/>
  <c r="N12" i="37"/>
  <c r="N13" i="37"/>
  <c r="N14" i="37"/>
  <c r="N15" i="37"/>
  <c r="N16" i="37"/>
  <c r="N17" i="37"/>
  <c r="N18" i="37"/>
  <c r="N19" i="37"/>
  <c r="N20" i="37"/>
  <c r="N21" i="37"/>
  <c r="N22" i="37"/>
  <c r="N23" i="37"/>
  <c r="N24" i="37"/>
  <c r="N25" i="37"/>
  <c r="N26" i="37"/>
  <c r="N27" i="37"/>
  <c r="N28" i="37"/>
  <c r="N29" i="37"/>
  <c r="N30" i="37"/>
  <c r="N31" i="37"/>
  <c r="N32" i="37"/>
  <c r="N33" i="37"/>
  <c r="N34" i="37"/>
  <c r="N35" i="37"/>
  <c r="N36" i="37"/>
  <c r="N37" i="37"/>
  <c r="N38" i="37"/>
  <c r="N39" i="37"/>
  <c r="N40" i="37"/>
  <c r="N41" i="37"/>
  <c r="N42" i="37"/>
  <c r="N43" i="37"/>
  <c r="N44" i="37"/>
  <c r="N45" i="37"/>
  <c r="N46" i="37"/>
  <c r="N47" i="37"/>
  <c r="N48" i="37"/>
  <c r="N49" i="37"/>
  <c r="N50" i="37"/>
  <c r="N51" i="37"/>
  <c r="N52" i="37"/>
  <c r="N53" i="37"/>
  <c r="N54" i="37"/>
  <c r="N55" i="37"/>
  <c r="N56" i="37"/>
  <c r="N57" i="37"/>
  <c r="N58" i="37"/>
  <c r="N59" i="37"/>
  <c r="N60" i="37"/>
  <c r="N61" i="37"/>
  <c r="N62" i="37"/>
  <c r="N63" i="37"/>
  <c r="N64" i="37"/>
  <c r="N65" i="37"/>
  <c r="N66" i="37"/>
  <c r="N67" i="37"/>
  <c r="N68" i="37"/>
  <c r="N69" i="37"/>
  <c r="N70" i="37"/>
  <c r="N71" i="37"/>
  <c r="N72" i="37"/>
  <c r="N73" i="37"/>
  <c r="N74" i="37"/>
  <c r="N75" i="37"/>
  <c r="N76" i="37"/>
  <c r="N77" i="37"/>
  <c r="N78" i="37"/>
  <c r="N79" i="37"/>
  <c r="N80" i="37"/>
  <c r="N81" i="37"/>
  <c r="N82" i="37"/>
  <c r="N83" i="37"/>
  <c r="N84" i="37"/>
  <c r="N85" i="37"/>
  <c r="N86" i="37"/>
  <c r="N87" i="37"/>
  <c r="N88" i="37"/>
  <c r="N89" i="37"/>
  <c r="N90" i="37"/>
  <c r="N91" i="37"/>
  <c r="N92" i="37"/>
  <c r="N93" i="37"/>
  <c r="N94" i="37"/>
  <c r="N95" i="37"/>
  <c r="N96" i="37"/>
  <c r="N97" i="37"/>
  <c r="N98" i="37"/>
  <c r="N99" i="37"/>
  <c r="N100" i="37"/>
  <c r="N101" i="37"/>
  <c r="N102" i="37"/>
  <c r="N103" i="37"/>
  <c r="N104" i="37"/>
  <c r="N105" i="37"/>
  <c r="N106" i="37"/>
  <c r="N107" i="37"/>
  <c r="N108" i="37"/>
  <c r="N109" i="37"/>
  <c r="N110" i="37"/>
  <c r="N111" i="37"/>
  <c r="N112" i="37"/>
  <c r="N113" i="37"/>
  <c r="N114" i="37"/>
  <c r="N115" i="37"/>
  <c r="N116" i="37"/>
  <c r="N117" i="37"/>
  <c r="N118" i="37"/>
  <c r="N119" i="37"/>
  <c r="N120" i="37"/>
  <c r="N121" i="37"/>
  <c r="N122" i="37"/>
  <c r="N123" i="37"/>
  <c r="N124" i="37"/>
  <c r="N125" i="37"/>
  <c r="N126" i="37"/>
  <c r="N127" i="37"/>
  <c r="N128" i="37"/>
  <c r="N129" i="37"/>
  <c r="N130" i="37"/>
  <c r="N131" i="37"/>
  <c r="N132" i="37"/>
  <c r="N133" i="37"/>
  <c r="N134" i="37"/>
  <c r="N135" i="37"/>
  <c r="N136" i="37"/>
  <c r="N137" i="37"/>
  <c r="N138" i="37"/>
  <c r="N139" i="37"/>
  <c r="N140" i="37"/>
  <c r="N141" i="37"/>
  <c r="N142" i="37"/>
  <c r="N143" i="37"/>
  <c r="N144" i="37"/>
  <c r="N145" i="37"/>
  <c r="N146" i="37"/>
  <c r="N147" i="37"/>
  <c r="N148" i="37"/>
  <c r="N149" i="37"/>
  <c r="N150" i="37"/>
  <c r="N151" i="37"/>
  <c r="N152" i="37"/>
  <c r="N153" i="37"/>
  <c r="N154" i="37"/>
  <c r="N155" i="37"/>
  <c r="N156" i="37"/>
  <c r="N157" i="37"/>
  <c r="N158" i="37"/>
  <c r="N159" i="37"/>
  <c r="N160" i="37"/>
  <c r="N161" i="37"/>
  <c r="N162" i="37"/>
  <c r="N163" i="37"/>
  <c r="N164" i="37"/>
  <c r="N165" i="37"/>
  <c r="N166" i="37"/>
  <c r="N167" i="37"/>
  <c r="N168" i="37"/>
  <c r="N169" i="37"/>
  <c r="N170" i="37"/>
  <c r="N171" i="37"/>
  <c r="N172" i="37"/>
  <c r="N173" i="37"/>
  <c r="N174" i="37"/>
  <c r="N175" i="37"/>
  <c r="N176" i="37"/>
  <c r="N177" i="37"/>
  <c r="N178" i="37"/>
  <c r="N179" i="37"/>
  <c r="N180" i="37"/>
  <c r="N181" i="37"/>
  <c r="N182" i="37"/>
  <c r="N183" i="37"/>
  <c r="N2" i="37"/>
  <c r="N185" i="38" l="1"/>
  <c r="I183" i="37"/>
  <c r="I182" i="37"/>
  <c r="I181" i="37"/>
  <c r="I180" i="37"/>
  <c r="I179" i="37"/>
  <c r="I178" i="37"/>
  <c r="I177" i="37"/>
  <c r="I176" i="37"/>
  <c r="I175" i="37"/>
  <c r="I174" i="37"/>
  <c r="I173" i="37"/>
  <c r="I172" i="37"/>
  <c r="I171" i="37"/>
  <c r="I170" i="37"/>
  <c r="I169" i="37"/>
  <c r="I168" i="37"/>
  <c r="I167" i="37"/>
  <c r="I166" i="37"/>
  <c r="I165" i="37"/>
  <c r="I164" i="37"/>
  <c r="I163" i="37"/>
  <c r="I162" i="37"/>
  <c r="I161" i="37"/>
  <c r="I160" i="37"/>
  <c r="I159" i="37"/>
  <c r="I158" i="37"/>
  <c r="I157" i="37"/>
  <c r="I156" i="37"/>
  <c r="I155" i="37"/>
  <c r="I154" i="37"/>
  <c r="I153" i="37"/>
  <c r="I152" i="37"/>
  <c r="I151" i="37"/>
  <c r="I150" i="37"/>
  <c r="I149" i="37"/>
  <c r="I148" i="37"/>
  <c r="I147" i="37"/>
  <c r="I146" i="37"/>
  <c r="I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M104" i="37" s="1"/>
  <c r="I103" i="37"/>
  <c r="I102" i="37"/>
  <c r="K102" i="37" s="1"/>
  <c r="M101" i="37"/>
  <c r="I101" i="37"/>
  <c r="K101" i="37" s="1"/>
  <c r="I100" i="37"/>
  <c r="K100" i="37" s="1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M36" i="37" s="1"/>
  <c r="I35" i="37"/>
  <c r="M35" i="37" s="1"/>
  <c r="I34" i="37"/>
  <c r="M34" i="37" s="1"/>
  <c r="I33" i="37"/>
  <c r="M33" i="37" s="1"/>
  <c r="I32" i="37"/>
  <c r="M32" i="37" s="1"/>
  <c r="I31" i="37"/>
  <c r="M31" i="37" s="1"/>
  <c r="I30" i="37"/>
  <c r="M30" i="37" s="1"/>
  <c r="I29" i="37"/>
  <c r="M29" i="37" s="1"/>
  <c r="I28" i="37"/>
  <c r="M28" i="37" s="1"/>
  <c r="I27" i="37"/>
  <c r="M27" i="37" s="1"/>
  <c r="I26" i="37"/>
  <c r="M26" i="37" s="1"/>
  <c r="I25" i="37"/>
  <c r="M25" i="37" s="1"/>
  <c r="I24" i="37"/>
  <c r="M24" i="37" s="1"/>
  <c r="I23" i="37"/>
  <c r="M23" i="37" s="1"/>
  <c r="I22" i="37"/>
  <c r="M22" i="37" s="1"/>
  <c r="I21" i="37"/>
  <c r="M21" i="37" s="1"/>
  <c r="I20" i="37"/>
  <c r="M20" i="37" s="1"/>
  <c r="I19" i="37"/>
  <c r="M19" i="37" s="1"/>
  <c r="I18" i="37"/>
  <c r="M18" i="37" s="1"/>
  <c r="I17" i="37"/>
  <c r="M17" i="37" s="1"/>
  <c r="I16" i="37"/>
  <c r="M16" i="37" s="1"/>
  <c r="I15" i="37"/>
  <c r="M15" i="37" s="1"/>
  <c r="I14" i="37"/>
  <c r="K14" i="37" s="1"/>
  <c r="I13" i="37"/>
  <c r="K13" i="37" s="1"/>
  <c r="I12" i="37"/>
  <c r="K12" i="37" s="1"/>
  <c r="M11" i="37"/>
  <c r="I11" i="37"/>
  <c r="K11" i="37" s="1"/>
  <c r="I10" i="37"/>
  <c r="K10" i="37" s="1"/>
  <c r="I9" i="37"/>
  <c r="K9" i="37" s="1"/>
  <c r="I8" i="37"/>
  <c r="K8" i="37" s="1"/>
  <c r="I7" i="37"/>
  <c r="K7" i="37" s="1"/>
  <c r="I6" i="37"/>
  <c r="K6" i="37" s="1"/>
  <c r="I5" i="37"/>
  <c r="K5" i="37" s="1"/>
  <c r="I4" i="37"/>
  <c r="K4" i="37" s="1"/>
  <c r="I3" i="37"/>
  <c r="K3" i="37" s="1"/>
  <c r="I2" i="37"/>
  <c r="K2" i="37" s="1"/>
  <c r="M3" i="37" l="1"/>
  <c r="K24" i="37"/>
  <c r="M7" i="37"/>
  <c r="K16" i="37"/>
  <c r="K32" i="37"/>
  <c r="M9" i="37"/>
  <c r="K28" i="37"/>
  <c r="M5" i="37"/>
  <c r="M13" i="37"/>
  <c r="K20" i="37"/>
  <c r="K36" i="37"/>
  <c r="M4" i="37"/>
  <c r="M8" i="37"/>
  <c r="M12" i="37"/>
  <c r="K18" i="37"/>
  <c r="K26" i="37"/>
  <c r="K34" i="37"/>
  <c r="M2" i="37"/>
  <c r="M6" i="37"/>
  <c r="M10" i="37"/>
  <c r="M14" i="37"/>
  <c r="K22" i="37"/>
  <c r="K30" i="37"/>
  <c r="M100" i="37"/>
  <c r="M37" i="37"/>
  <c r="K37" i="37"/>
  <c r="M43" i="37"/>
  <c r="K43" i="37"/>
  <c r="M47" i="37"/>
  <c r="K47" i="37"/>
  <c r="M51" i="37"/>
  <c r="K51" i="37"/>
  <c r="M55" i="37"/>
  <c r="K55" i="37"/>
  <c r="M61" i="37"/>
  <c r="K61" i="37"/>
  <c r="M65" i="37"/>
  <c r="K65" i="37"/>
  <c r="M69" i="37"/>
  <c r="K69" i="37"/>
  <c r="M73" i="37"/>
  <c r="K73" i="37"/>
  <c r="M77" i="37"/>
  <c r="K77" i="37"/>
  <c r="M81" i="37"/>
  <c r="K81" i="37"/>
  <c r="M85" i="37"/>
  <c r="K85" i="37"/>
  <c r="M89" i="37"/>
  <c r="K89" i="37"/>
  <c r="M93" i="37"/>
  <c r="K93" i="37"/>
  <c r="M97" i="37"/>
  <c r="K97" i="37"/>
  <c r="N184" i="37"/>
  <c r="K17" i="37"/>
  <c r="K21" i="37"/>
  <c r="K25" i="37"/>
  <c r="K29" i="37"/>
  <c r="K33" i="37"/>
  <c r="M41" i="37"/>
  <c r="K41" i="37"/>
  <c r="M45" i="37"/>
  <c r="K45" i="37"/>
  <c r="M49" i="37"/>
  <c r="K49" i="37"/>
  <c r="M53" i="37"/>
  <c r="K53" i="37"/>
  <c r="M59" i="37"/>
  <c r="K59" i="37"/>
  <c r="M63" i="37"/>
  <c r="K63" i="37"/>
  <c r="M67" i="37"/>
  <c r="K67" i="37"/>
  <c r="M71" i="37"/>
  <c r="K71" i="37"/>
  <c r="M75" i="37"/>
  <c r="K75" i="37"/>
  <c r="M79" i="37"/>
  <c r="K79" i="37"/>
  <c r="M87" i="37"/>
  <c r="K87" i="37"/>
  <c r="M91" i="37"/>
  <c r="K91" i="37"/>
  <c r="M95" i="37"/>
  <c r="K95" i="37"/>
  <c r="K99" i="37"/>
  <c r="M99" i="37"/>
  <c r="M38" i="37"/>
  <c r="K38" i="37"/>
  <c r="M40" i="37"/>
  <c r="K40" i="37"/>
  <c r="M42" i="37"/>
  <c r="K42" i="37"/>
  <c r="M44" i="37"/>
  <c r="K44" i="37"/>
  <c r="M46" i="37"/>
  <c r="K46" i="37"/>
  <c r="M48" i="37"/>
  <c r="K48" i="37"/>
  <c r="M50" i="37"/>
  <c r="K50" i="37"/>
  <c r="M52" i="37"/>
  <c r="K52" i="37"/>
  <c r="M54" i="37"/>
  <c r="K54" i="37"/>
  <c r="M56" i="37"/>
  <c r="K56" i="37"/>
  <c r="M58" i="37"/>
  <c r="K58" i="37"/>
  <c r="M60" i="37"/>
  <c r="K60" i="37"/>
  <c r="M62" i="37"/>
  <c r="K62" i="37"/>
  <c r="M64" i="37"/>
  <c r="K64" i="37"/>
  <c r="M66" i="37"/>
  <c r="K66" i="37"/>
  <c r="M68" i="37"/>
  <c r="K68" i="37"/>
  <c r="M70" i="37"/>
  <c r="K70" i="37"/>
  <c r="M72" i="37"/>
  <c r="K72" i="37"/>
  <c r="M74" i="37"/>
  <c r="K74" i="37"/>
  <c r="M76" i="37"/>
  <c r="K76" i="37"/>
  <c r="M78" i="37"/>
  <c r="K78" i="37"/>
  <c r="M80" i="37"/>
  <c r="K80" i="37"/>
  <c r="M82" i="37"/>
  <c r="K82" i="37"/>
  <c r="M84" i="37"/>
  <c r="K84" i="37"/>
  <c r="M86" i="37"/>
  <c r="K86" i="37"/>
  <c r="M88" i="37"/>
  <c r="K88" i="37"/>
  <c r="M90" i="37"/>
  <c r="K90" i="37"/>
  <c r="M92" i="37"/>
  <c r="K92" i="37"/>
  <c r="M94" i="37"/>
  <c r="K94" i="37"/>
  <c r="M96" i="37"/>
  <c r="K96" i="37"/>
  <c r="M98" i="37"/>
  <c r="K98" i="37"/>
  <c r="K103" i="37"/>
  <c r="M103" i="37"/>
  <c r="M39" i="37"/>
  <c r="K39" i="37"/>
  <c r="M57" i="37"/>
  <c r="K57" i="37"/>
  <c r="M83" i="37"/>
  <c r="K83" i="37"/>
  <c r="K15" i="37"/>
  <c r="K19" i="37"/>
  <c r="K23" i="37"/>
  <c r="K27" i="37"/>
  <c r="K31" i="37"/>
  <c r="K35" i="37"/>
  <c r="M105" i="37"/>
  <c r="K105" i="37"/>
  <c r="M107" i="37"/>
  <c r="K107" i="37"/>
  <c r="M109" i="37"/>
  <c r="K109" i="37"/>
  <c r="M111" i="37"/>
  <c r="K111" i="37"/>
  <c r="M113" i="37"/>
  <c r="K113" i="37"/>
  <c r="M115" i="37"/>
  <c r="K115" i="37"/>
  <c r="M117" i="37"/>
  <c r="K117" i="37"/>
  <c r="M119" i="37"/>
  <c r="K119" i="37"/>
  <c r="M121" i="37"/>
  <c r="K121" i="37"/>
  <c r="M123" i="37"/>
  <c r="K123" i="37"/>
  <c r="M125" i="37"/>
  <c r="K125" i="37"/>
  <c r="M127" i="37"/>
  <c r="K127" i="37"/>
  <c r="M129" i="37"/>
  <c r="K129" i="37"/>
  <c r="M131" i="37"/>
  <c r="K131" i="37"/>
  <c r="M133" i="37"/>
  <c r="K133" i="37"/>
  <c r="M135" i="37"/>
  <c r="K135" i="37"/>
  <c r="M137" i="37"/>
  <c r="K137" i="37"/>
  <c r="M139" i="37"/>
  <c r="K139" i="37"/>
  <c r="M141" i="37"/>
  <c r="K141" i="37"/>
  <c r="M143" i="37"/>
  <c r="K143" i="37"/>
  <c r="M145" i="37"/>
  <c r="K145" i="37"/>
  <c r="M147" i="37"/>
  <c r="K147" i="37"/>
  <c r="M149" i="37"/>
  <c r="K149" i="37"/>
  <c r="M151" i="37"/>
  <c r="K151" i="37"/>
  <c r="M153" i="37"/>
  <c r="K153" i="37"/>
  <c r="M155" i="37"/>
  <c r="K155" i="37"/>
  <c r="M157" i="37"/>
  <c r="K157" i="37"/>
  <c r="M159" i="37"/>
  <c r="K159" i="37"/>
  <c r="M161" i="37"/>
  <c r="K161" i="37"/>
  <c r="M163" i="37"/>
  <c r="K163" i="37"/>
  <c r="M165" i="37"/>
  <c r="K165" i="37"/>
  <c r="M167" i="37"/>
  <c r="K167" i="37"/>
  <c r="M169" i="37"/>
  <c r="K169" i="37"/>
  <c r="M171" i="37"/>
  <c r="K171" i="37"/>
  <c r="M173" i="37"/>
  <c r="K173" i="37"/>
  <c r="M175" i="37"/>
  <c r="K175" i="37"/>
  <c r="M177" i="37"/>
  <c r="K177" i="37"/>
  <c r="M179" i="37"/>
  <c r="K179" i="37"/>
  <c r="M181" i="37"/>
  <c r="K181" i="37"/>
  <c r="M183" i="37"/>
  <c r="K183" i="37"/>
  <c r="M102" i="37"/>
  <c r="M106" i="37"/>
  <c r="K106" i="37"/>
  <c r="M108" i="37"/>
  <c r="K108" i="37"/>
  <c r="M110" i="37"/>
  <c r="K110" i="37"/>
  <c r="M112" i="37"/>
  <c r="K112" i="37"/>
  <c r="M114" i="37"/>
  <c r="K114" i="37"/>
  <c r="M116" i="37"/>
  <c r="K116" i="37"/>
  <c r="M118" i="37"/>
  <c r="K118" i="37"/>
  <c r="M120" i="37"/>
  <c r="K120" i="37"/>
  <c r="M122" i="37"/>
  <c r="K122" i="37"/>
  <c r="M124" i="37"/>
  <c r="K124" i="37"/>
  <c r="M126" i="37"/>
  <c r="K126" i="37"/>
  <c r="M128" i="37"/>
  <c r="K128" i="37"/>
  <c r="M130" i="37"/>
  <c r="K130" i="37"/>
  <c r="M132" i="37"/>
  <c r="K132" i="37"/>
  <c r="M134" i="37"/>
  <c r="K134" i="37"/>
  <c r="M136" i="37"/>
  <c r="K136" i="37"/>
  <c r="M138" i="37"/>
  <c r="K138" i="37"/>
  <c r="M140" i="37"/>
  <c r="K140" i="37"/>
  <c r="M142" i="37"/>
  <c r="K142" i="37"/>
  <c r="M144" i="37"/>
  <c r="K144" i="37"/>
  <c r="M146" i="37"/>
  <c r="K146" i="37"/>
  <c r="M148" i="37"/>
  <c r="K148" i="37"/>
  <c r="M150" i="37"/>
  <c r="K150" i="37"/>
  <c r="M152" i="37"/>
  <c r="K152" i="37"/>
  <c r="M154" i="37"/>
  <c r="K154" i="37"/>
  <c r="M156" i="37"/>
  <c r="K156" i="37"/>
  <c r="M158" i="37"/>
  <c r="K158" i="37"/>
  <c r="M160" i="37"/>
  <c r="K160" i="37"/>
  <c r="M162" i="37"/>
  <c r="K162" i="37"/>
  <c r="M164" i="37"/>
  <c r="K164" i="37"/>
  <c r="M166" i="37"/>
  <c r="K166" i="37"/>
  <c r="M168" i="37"/>
  <c r="K168" i="37"/>
  <c r="M170" i="37"/>
  <c r="K170" i="37"/>
  <c r="M172" i="37"/>
  <c r="K172" i="37"/>
  <c r="M174" i="37"/>
  <c r="K174" i="37"/>
  <c r="M176" i="37"/>
  <c r="K176" i="37"/>
  <c r="M178" i="37"/>
  <c r="K178" i="37"/>
  <c r="M180" i="37"/>
  <c r="K180" i="37"/>
  <c r="M182" i="37"/>
  <c r="K182" i="37"/>
  <c r="N3" i="36"/>
  <c r="N4" i="36"/>
  <c r="N5" i="36"/>
  <c r="N6" i="36"/>
  <c r="N7" i="36"/>
  <c r="N8" i="36"/>
  <c r="N9" i="36"/>
  <c r="N10" i="36"/>
  <c r="N11" i="36"/>
  <c r="N12" i="36"/>
  <c r="N13" i="36"/>
  <c r="N14" i="36"/>
  <c r="N15" i="36"/>
  <c r="N16" i="36"/>
  <c r="N17" i="36"/>
  <c r="N18" i="36"/>
  <c r="N19" i="36"/>
  <c r="N20" i="36"/>
  <c r="N21" i="36"/>
  <c r="N22" i="36"/>
  <c r="N23" i="36"/>
  <c r="N24" i="36"/>
  <c r="N25" i="36"/>
  <c r="N26" i="36"/>
  <c r="N27" i="36"/>
  <c r="N28" i="36"/>
  <c r="N29" i="36"/>
  <c r="N30" i="36"/>
  <c r="N31" i="36"/>
  <c r="N32" i="36"/>
  <c r="N33" i="36"/>
  <c r="N34" i="36"/>
  <c r="N35" i="36"/>
  <c r="N36" i="36"/>
  <c r="N37" i="36"/>
  <c r="N38" i="36"/>
  <c r="N39" i="36"/>
  <c r="N40" i="36"/>
  <c r="N41" i="36"/>
  <c r="N42" i="36"/>
  <c r="N43" i="36"/>
  <c r="N44" i="36"/>
  <c r="N45" i="36"/>
  <c r="N46" i="36"/>
  <c r="N47" i="36"/>
  <c r="N48" i="36"/>
  <c r="N49" i="36"/>
  <c r="N50" i="36"/>
  <c r="N51" i="36"/>
  <c r="N52" i="36"/>
  <c r="N53" i="36"/>
  <c r="N54" i="36"/>
  <c r="N55" i="36"/>
  <c r="N56" i="36"/>
  <c r="N57" i="36"/>
  <c r="N58" i="36"/>
  <c r="N59" i="36"/>
  <c r="N60" i="36"/>
  <c r="N61" i="36"/>
  <c r="N62" i="36"/>
  <c r="N63" i="36"/>
  <c r="N64" i="36"/>
  <c r="N65" i="36"/>
  <c r="N66" i="36"/>
  <c r="N67" i="36"/>
  <c r="N68" i="36"/>
  <c r="N69" i="36"/>
  <c r="N70" i="36"/>
  <c r="N71" i="36"/>
  <c r="N72" i="36"/>
  <c r="N73" i="36"/>
  <c r="N74" i="36"/>
  <c r="N75" i="36"/>
  <c r="N76" i="36"/>
  <c r="N77" i="36"/>
  <c r="N78" i="36"/>
  <c r="N79" i="36"/>
  <c r="N80" i="36"/>
  <c r="N81" i="36"/>
  <c r="N82" i="36"/>
  <c r="N83" i="36"/>
  <c r="N84" i="36"/>
  <c r="N85" i="36"/>
  <c r="N86" i="36"/>
  <c r="N87" i="36"/>
  <c r="N88" i="36"/>
  <c r="N89" i="36"/>
  <c r="N90" i="36"/>
  <c r="N91" i="36"/>
  <c r="N92" i="36"/>
  <c r="N93" i="36"/>
  <c r="N94" i="36"/>
  <c r="N95" i="36"/>
  <c r="N96" i="36"/>
  <c r="N97" i="36"/>
  <c r="N98" i="36"/>
  <c r="N99" i="36"/>
  <c r="N100" i="36"/>
  <c r="N101" i="36"/>
  <c r="N102" i="36"/>
  <c r="N103" i="36"/>
  <c r="N104" i="36"/>
  <c r="N105" i="36"/>
  <c r="N106" i="36"/>
  <c r="N107" i="36"/>
  <c r="N108" i="36"/>
  <c r="N109" i="36"/>
  <c r="N110" i="36"/>
  <c r="N111" i="36"/>
  <c r="N112" i="36"/>
  <c r="N113" i="36"/>
  <c r="N114" i="36"/>
  <c r="N115" i="36"/>
  <c r="N116" i="36"/>
  <c r="N117" i="36"/>
  <c r="N118" i="36"/>
  <c r="N119" i="36"/>
  <c r="N120" i="36"/>
  <c r="N121" i="36"/>
  <c r="N122" i="36"/>
  <c r="N123" i="36"/>
  <c r="N124" i="36"/>
  <c r="N125" i="36"/>
  <c r="N126" i="36"/>
  <c r="N127" i="36"/>
  <c r="N128" i="36"/>
  <c r="N129" i="36"/>
  <c r="N130" i="36"/>
  <c r="N131" i="36"/>
  <c r="N132" i="36"/>
  <c r="N133" i="36"/>
  <c r="N134" i="36"/>
  <c r="N135" i="36"/>
  <c r="N136" i="36"/>
  <c r="N137" i="36"/>
  <c r="N138" i="36"/>
  <c r="N139" i="36"/>
  <c r="N140" i="36"/>
  <c r="N141" i="36"/>
  <c r="N142" i="36"/>
  <c r="N143" i="36"/>
  <c r="N144" i="36"/>
  <c r="N145" i="36"/>
  <c r="N146" i="36"/>
  <c r="N147" i="36"/>
  <c r="N148" i="36"/>
  <c r="N149" i="36"/>
  <c r="N150" i="36"/>
  <c r="N151" i="36"/>
  <c r="N152" i="36"/>
  <c r="N153" i="36"/>
  <c r="N154" i="36"/>
  <c r="N155" i="36"/>
  <c r="N156" i="36"/>
  <c r="N157" i="36"/>
  <c r="N158" i="36"/>
  <c r="N159" i="36"/>
  <c r="N160" i="36"/>
  <c r="N161" i="36"/>
  <c r="N162" i="36"/>
  <c r="N163" i="36"/>
  <c r="N164" i="36"/>
  <c r="N165" i="36"/>
  <c r="N166" i="36"/>
  <c r="N167" i="36"/>
  <c r="N168" i="36"/>
  <c r="N169" i="36"/>
  <c r="N170" i="36"/>
  <c r="N171" i="36"/>
  <c r="N172" i="36"/>
  <c r="N173" i="36"/>
  <c r="N174" i="36"/>
  <c r="N175" i="36"/>
  <c r="N176" i="36"/>
  <c r="N177" i="36"/>
  <c r="N178" i="36"/>
  <c r="N179" i="36"/>
  <c r="N180" i="36"/>
  <c r="N181" i="36"/>
  <c r="N182" i="36"/>
  <c r="N183" i="36"/>
  <c r="N2" i="36"/>
  <c r="I183" i="36" l="1"/>
  <c r="I182" i="36"/>
  <c r="I181" i="36"/>
  <c r="I180" i="36"/>
  <c r="I179" i="36"/>
  <c r="I178" i="36"/>
  <c r="I177" i="36"/>
  <c r="I176" i="36"/>
  <c r="I175" i="36"/>
  <c r="I174" i="36"/>
  <c r="I173" i="36"/>
  <c r="I172" i="36"/>
  <c r="I171" i="36"/>
  <c r="I170" i="36"/>
  <c r="I169" i="36"/>
  <c r="I168" i="36"/>
  <c r="I167" i="36"/>
  <c r="I166" i="36"/>
  <c r="I165" i="36"/>
  <c r="I164" i="36"/>
  <c r="I163" i="36"/>
  <c r="I162" i="36"/>
  <c r="I161" i="36"/>
  <c r="I160" i="36"/>
  <c r="I159" i="36"/>
  <c r="I158" i="36"/>
  <c r="I157" i="36"/>
  <c r="I156" i="36"/>
  <c r="I155" i="36"/>
  <c r="I154" i="36"/>
  <c r="I153" i="36"/>
  <c r="I152" i="36"/>
  <c r="I151" i="36"/>
  <c r="I150" i="36"/>
  <c r="I149" i="36"/>
  <c r="I148" i="36"/>
  <c r="I147" i="36"/>
  <c r="I146" i="36"/>
  <c r="I145" i="36"/>
  <c r="I144" i="36"/>
  <c r="I143" i="36"/>
  <c r="I142" i="36"/>
  <c r="I141" i="36"/>
  <c r="I140" i="36"/>
  <c r="I139" i="36"/>
  <c r="I138" i="36"/>
  <c r="I137" i="36"/>
  <c r="I136" i="36"/>
  <c r="I135" i="36"/>
  <c r="I134" i="36"/>
  <c r="I133" i="36"/>
  <c r="I132" i="36"/>
  <c r="I131" i="36"/>
  <c r="I130" i="36"/>
  <c r="I129" i="36"/>
  <c r="I128" i="36"/>
  <c r="I127" i="36"/>
  <c r="I126" i="36"/>
  <c r="I125" i="36"/>
  <c r="I124" i="36"/>
  <c r="I123" i="36"/>
  <c r="I122" i="36"/>
  <c r="I121" i="36"/>
  <c r="I120" i="36"/>
  <c r="I119" i="36"/>
  <c r="I118" i="36"/>
  <c r="I117" i="36"/>
  <c r="I116" i="36"/>
  <c r="I115" i="36"/>
  <c r="I114" i="36"/>
  <c r="I113" i="36"/>
  <c r="I112" i="36"/>
  <c r="I111" i="36"/>
  <c r="I110" i="36"/>
  <c r="I109" i="36"/>
  <c r="I108" i="36"/>
  <c r="I107" i="36"/>
  <c r="I106" i="36"/>
  <c r="I105" i="36"/>
  <c r="I104" i="36"/>
  <c r="I103" i="36"/>
  <c r="I102" i="36"/>
  <c r="I101" i="36"/>
  <c r="I100" i="36"/>
  <c r="I99" i="36"/>
  <c r="I98" i="36"/>
  <c r="M98" i="36" s="1"/>
  <c r="I97" i="36"/>
  <c r="M97" i="36" s="1"/>
  <c r="I96" i="36"/>
  <c r="M96" i="36" s="1"/>
  <c r="I95" i="36"/>
  <c r="M95" i="36" s="1"/>
  <c r="I94" i="36"/>
  <c r="M94" i="36" s="1"/>
  <c r="I93" i="36"/>
  <c r="M93" i="36" s="1"/>
  <c r="I92" i="36"/>
  <c r="M92" i="36" s="1"/>
  <c r="I91" i="36"/>
  <c r="M91" i="36" s="1"/>
  <c r="I90" i="36"/>
  <c r="M90" i="36" s="1"/>
  <c r="I89" i="36"/>
  <c r="M89" i="36" s="1"/>
  <c r="I88" i="36"/>
  <c r="M88" i="36" s="1"/>
  <c r="I87" i="36"/>
  <c r="M87" i="36" s="1"/>
  <c r="I86" i="36"/>
  <c r="M86" i="36" s="1"/>
  <c r="I85" i="36"/>
  <c r="M85" i="36" s="1"/>
  <c r="I84" i="36"/>
  <c r="M84" i="36" s="1"/>
  <c r="I83" i="36"/>
  <c r="M83" i="36" s="1"/>
  <c r="I82" i="36"/>
  <c r="M82" i="36" s="1"/>
  <c r="I81" i="36"/>
  <c r="M81" i="36" s="1"/>
  <c r="I80" i="36"/>
  <c r="M80" i="36" s="1"/>
  <c r="I79" i="36"/>
  <c r="M79" i="36" s="1"/>
  <c r="I78" i="36"/>
  <c r="M78" i="36" s="1"/>
  <c r="I77" i="36"/>
  <c r="M77" i="36" s="1"/>
  <c r="I76" i="36"/>
  <c r="M76" i="36" s="1"/>
  <c r="I75" i="36"/>
  <c r="M75" i="36" s="1"/>
  <c r="I74" i="36"/>
  <c r="M74" i="36" s="1"/>
  <c r="I73" i="36"/>
  <c r="M73" i="36" s="1"/>
  <c r="I72" i="36"/>
  <c r="M72" i="36" s="1"/>
  <c r="I71" i="36"/>
  <c r="M71" i="36" s="1"/>
  <c r="I70" i="36"/>
  <c r="M70" i="36" s="1"/>
  <c r="I69" i="36"/>
  <c r="I68" i="36"/>
  <c r="I67" i="36"/>
  <c r="I66" i="36"/>
  <c r="K66" i="36" s="1"/>
  <c r="I65" i="36"/>
  <c r="I64" i="36"/>
  <c r="I63" i="36"/>
  <c r="I62" i="36"/>
  <c r="I61" i="36"/>
  <c r="I60" i="36"/>
  <c r="I59" i="36"/>
  <c r="I58" i="36"/>
  <c r="K58" i="36" s="1"/>
  <c r="I57" i="36"/>
  <c r="I56" i="36"/>
  <c r="I55" i="36"/>
  <c r="I54" i="36"/>
  <c r="I53" i="36"/>
  <c r="I52" i="36"/>
  <c r="I51" i="36"/>
  <c r="I50" i="36"/>
  <c r="K50" i="36" s="1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I4" i="36"/>
  <c r="I3" i="36"/>
  <c r="I2" i="36"/>
  <c r="K74" i="36" l="1"/>
  <c r="K64" i="36"/>
  <c r="K45" i="36"/>
  <c r="K54" i="36"/>
  <c r="K62" i="36"/>
  <c r="K70" i="36"/>
  <c r="K78" i="36"/>
  <c r="K37" i="36"/>
  <c r="K56" i="36"/>
  <c r="K52" i="36"/>
  <c r="K60" i="36"/>
  <c r="K68" i="36"/>
  <c r="K43" i="36"/>
  <c r="K92" i="36"/>
  <c r="K98" i="36"/>
  <c r="K88" i="36"/>
  <c r="K96" i="36"/>
  <c r="K41" i="36"/>
  <c r="K49" i="36"/>
  <c r="K51" i="36"/>
  <c r="K53" i="36"/>
  <c r="K55" i="36"/>
  <c r="K57" i="36"/>
  <c r="K59" i="36"/>
  <c r="K61" i="36"/>
  <c r="K63" i="36"/>
  <c r="K65" i="36"/>
  <c r="K67" i="36"/>
  <c r="K69" i="36"/>
  <c r="K84" i="36"/>
  <c r="K86" i="36"/>
  <c r="K90" i="36"/>
  <c r="K94" i="36"/>
  <c r="K39" i="36"/>
  <c r="K47" i="36"/>
  <c r="K72" i="36"/>
  <c r="K76" i="36"/>
  <c r="K80" i="36"/>
  <c r="K82" i="36"/>
  <c r="K25" i="36"/>
  <c r="K27" i="36"/>
  <c r="K29" i="36"/>
  <c r="K31" i="36"/>
  <c r="K33" i="36"/>
  <c r="K35" i="36"/>
  <c r="K71" i="36"/>
  <c r="K75" i="36"/>
  <c r="K79" i="36"/>
  <c r="K83" i="36"/>
  <c r="K87" i="36"/>
  <c r="K91" i="36"/>
  <c r="K95" i="36"/>
  <c r="K158" i="36"/>
  <c r="K160" i="36"/>
  <c r="K162" i="36"/>
  <c r="K164" i="36"/>
  <c r="K166" i="36"/>
  <c r="K168" i="36"/>
  <c r="K170" i="36"/>
  <c r="K172" i="36"/>
  <c r="K174" i="36"/>
  <c r="K176" i="36"/>
  <c r="K178" i="36"/>
  <c r="K180" i="36"/>
  <c r="K182" i="36"/>
  <c r="K26" i="36"/>
  <c r="K28" i="36"/>
  <c r="K30" i="36"/>
  <c r="K32" i="36"/>
  <c r="K34" i="36"/>
  <c r="K36" i="36"/>
  <c r="K38" i="36"/>
  <c r="K40" i="36"/>
  <c r="K42" i="36"/>
  <c r="K44" i="36"/>
  <c r="K46" i="36"/>
  <c r="K48" i="36"/>
  <c r="K73" i="36"/>
  <c r="K77" i="36"/>
  <c r="K81" i="36"/>
  <c r="K85" i="36"/>
  <c r="K89" i="36"/>
  <c r="K93" i="36"/>
  <c r="K97" i="36"/>
  <c r="K159" i="36"/>
  <c r="K161" i="36"/>
  <c r="K163" i="36"/>
  <c r="K165" i="36"/>
  <c r="K167" i="36"/>
  <c r="K169" i="36"/>
  <c r="K171" i="36"/>
  <c r="K173" i="36"/>
  <c r="K175" i="36"/>
  <c r="K177" i="36"/>
  <c r="K179" i="36"/>
  <c r="K181" i="36"/>
  <c r="K183" i="36"/>
  <c r="K3" i="36"/>
  <c r="K5" i="36"/>
  <c r="K7" i="36"/>
  <c r="K9" i="36"/>
  <c r="K11" i="36"/>
  <c r="K13" i="36"/>
  <c r="K15" i="36"/>
  <c r="K18" i="36"/>
  <c r="K20" i="36"/>
  <c r="K22" i="36"/>
  <c r="M106" i="36"/>
  <c r="M108" i="36"/>
  <c r="M110" i="36"/>
  <c r="M112" i="36"/>
  <c r="M114" i="36"/>
  <c r="M116" i="36"/>
  <c r="M118" i="36"/>
  <c r="M120" i="36"/>
  <c r="M122" i="36"/>
  <c r="M124" i="36"/>
  <c r="M126" i="36"/>
  <c r="M128" i="36"/>
  <c r="M130" i="36"/>
  <c r="M132" i="36"/>
  <c r="M134" i="36"/>
  <c r="M136" i="36"/>
  <c r="M138" i="36"/>
  <c r="M140" i="36"/>
  <c r="M142" i="36"/>
  <c r="M144" i="36"/>
  <c r="M146" i="36"/>
  <c r="M148" i="36"/>
  <c r="M150" i="36"/>
  <c r="M152" i="36"/>
  <c r="M154" i="36"/>
  <c r="M156" i="36"/>
  <c r="M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53" i="36"/>
  <c r="M54" i="36"/>
  <c r="M55" i="36"/>
  <c r="M56" i="36"/>
  <c r="M57" i="36"/>
  <c r="M58" i="36"/>
  <c r="M59" i="36"/>
  <c r="M60" i="36"/>
  <c r="M61" i="36"/>
  <c r="M62" i="36"/>
  <c r="M63" i="36"/>
  <c r="M64" i="36"/>
  <c r="M65" i="36"/>
  <c r="M66" i="36"/>
  <c r="M67" i="36"/>
  <c r="M68" i="36"/>
  <c r="M69" i="36"/>
  <c r="M100" i="36"/>
  <c r="K100" i="36"/>
  <c r="M102" i="36"/>
  <c r="K102" i="36"/>
  <c r="M104" i="36"/>
  <c r="K106" i="36"/>
  <c r="K108" i="36"/>
  <c r="K110" i="36"/>
  <c r="K112" i="36"/>
  <c r="K114" i="36"/>
  <c r="K116" i="36"/>
  <c r="K118" i="36"/>
  <c r="K120" i="36"/>
  <c r="K122" i="36"/>
  <c r="K124" i="36"/>
  <c r="K126" i="36"/>
  <c r="K128" i="36"/>
  <c r="K130" i="36"/>
  <c r="K132" i="36"/>
  <c r="K134" i="36"/>
  <c r="K136" i="36"/>
  <c r="K138" i="36"/>
  <c r="K140" i="36"/>
  <c r="K142" i="36"/>
  <c r="K144" i="36"/>
  <c r="K146" i="36"/>
  <c r="K148" i="36"/>
  <c r="K150" i="36"/>
  <c r="K152" i="36"/>
  <c r="K154" i="36"/>
  <c r="K156" i="36"/>
  <c r="K2" i="36"/>
  <c r="K4" i="36"/>
  <c r="K6" i="36"/>
  <c r="K8" i="36"/>
  <c r="K10" i="36"/>
  <c r="K12" i="36"/>
  <c r="K14" i="36"/>
  <c r="K16" i="36"/>
  <c r="K17" i="36"/>
  <c r="K19" i="36"/>
  <c r="K21" i="36"/>
  <c r="K23" i="36"/>
  <c r="K24" i="36"/>
  <c r="M105" i="36"/>
  <c r="M107" i="36"/>
  <c r="M109" i="36"/>
  <c r="M111" i="36"/>
  <c r="M113" i="36"/>
  <c r="M115" i="36"/>
  <c r="M117" i="36"/>
  <c r="M119" i="36"/>
  <c r="M121" i="36"/>
  <c r="M123" i="36"/>
  <c r="M125" i="36"/>
  <c r="M127" i="36"/>
  <c r="M129" i="36"/>
  <c r="M131" i="36"/>
  <c r="M133" i="36"/>
  <c r="M135" i="36"/>
  <c r="M137" i="36"/>
  <c r="M139" i="36"/>
  <c r="M141" i="36"/>
  <c r="M143" i="36"/>
  <c r="M145" i="36"/>
  <c r="M147" i="36"/>
  <c r="M149" i="36"/>
  <c r="M151" i="36"/>
  <c r="M153" i="36"/>
  <c r="M155" i="36"/>
  <c r="M157" i="36"/>
  <c r="M99" i="36"/>
  <c r="K99" i="36"/>
  <c r="M101" i="36"/>
  <c r="K101" i="36"/>
  <c r="M103" i="36"/>
  <c r="K103" i="36"/>
  <c r="K105" i="36"/>
  <c r="K107" i="36"/>
  <c r="K109" i="36"/>
  <c r="K111" i="36"/>
  <c r="K113" i="36"/>
  <c r="K115" i="36"/>
  <c r="K117" i="36"/>
  <c r="K119" i="36"/>
  <c r="K121" i="36"/>
  <c r="K123" i="36"/>
  <c r="K125" i="36"/>
  <c r="K127" i="36"/>
  <c r="K129" i="36"/>
  <c r="K131" i="36"/>
  <c r="K133" i="36"/>
  <c r="K135" i="36"/>
  <c r="K137" i="36"/>
  <c r="K139" i="36"/>
  <c r="K141" i="36"/>
  <c r="K143" i="36"/>
  <c r="K145" i="36"/>
  <c r="K147" i="36"/>
  <c r="K149" i="36"/>
  <c r="K151" i="36"/>
  <c r="K153" i="36"/>
  <c r="K155" i="36"/>
  <c r="K157" i="36"/>
  <c r="M158" i="36"/>
  <c r="M159" i="36"/>
  <c r="M160" i="36"/>
  <c r="M161" i="36"/>
  <c r="M162" i="36"/>
  <c r="M163" i="36"/>
  <c r="M164" i="36"/>
  <c r="M165" i="36"/>
  <c r="M166" i="36"/>
  <c r="M167" i="36"/>
  <c r="M168" i="36"/>
  <c r="M169" i="36"/>
  <c r="M170" i="36"/>
  <c r="M171" i="36"/>
  <c r="M172" i="36"/>
  <c r="M173" i="36"/>
  <c r="M174" i="36"/>
  <c r="M175" i="36"/>
  <c r="M176" i="36"/>
  <c r="M177" i="36"/>
  <c r="M178" i="36"/>
  <c r="M179" i="36"/>
  <c r="M180" i="36"/>
  <c r="M181" i="36"/>
  <c r="M182" i="36"/>
  <c r="M183" i="36"/>
  <c r="I183" i="35"/>
  <c r="M183" i="35" s="1"/>
  <c r="I182" i="35"/>
  <c r="K182" i="35" s="1"/>
  <c r="I181" i="35"/>
  <c r="I180" i="35"/>
  <c r="K180" i="35" s="1"/>
  <c r="I179" i="35"/>
  <c r="K179" i="35" s="1"/>
  <c r="I178" i="35"/>
  <c r="K178" i="35" s="1"/>
  <c r="I177" i="35"/>
  <c r="K177" i="35" s="1"/>
  <c r="I176" i="35"/>
  <c r="K176" i="35" s="1"/>
  <c r="I175" i="35"/>
  <c r="K175" i="35" s="1"/>
  <c r="I174" i="35"/>
  <c r="K174" i="35" s="1"/>
  <c r="I173" i="35"/>
  <c r="K173" i="35" s="1"/>
  <c r="I172" i="35"/>
  <c r="K172" i="35" s="1"/>
  <c r="I171" i="35"/>
  <c r="K171" i="35" s="1"/>
  <c r="I170" i="35"/>
  <c r="K170" i="35" s="1"/>
  <c r="I169" i="35"/>
  <c r="K169" i="35" s="1"/>
  <c r="I168" i="35"/>
  <c r="K168" i="35" s="1"/>
  <c r="I167" i="35"/>
  <c r="I166" i="35"/>
  <c r="K166" i="35" s="1"/>
  <c r="I165" i="35"/>
  <c r="K165" i="35" s="1"/>
  <c r="I164" i="35"/>
  <c r="K164" i="35" s="1"/>
  <c r="I163" i="35"/>
  <c r="I162" i="35"/>
  <c r="K162" i="35" s="1"/>
  <c r="I161" i="35"/>
  <c r="K161" i="35" s="1"/>
  <c r="I160" i="35"/>
  <c r="I159" i="35"/>
  <c r="K159" i="35" s="1"/>
  <c r="I158" i="35"/>
  <c r="K158" i="35" s="1"/>
  <c r="I157" i="35"/>
  <c r="K157" i="35" s="1"/>
  <c r="I156" i="35"/>
  <c r="I155" i="35"/>
  <c r="K155" i="35" s="1"/>
  <c r="I154" i="35"/>
  <c r="K154" i="35" s="1"/>
  <c r="I153" i="35"/>
  <c r="I152" i="35"/>
  <c r="K152" i="35" s="1"/>
  <c r="I151" i="35"/>
  <c r="K151" i="35" s="1"/>
  <c r="I150" i="35"/>
  <c r="K150" i="35" s="1"/>
  <c r="I149" i="35"/>
  <c r="I148" i="35"/>
  <c r="K148" i="35" s="1"/>
  <c r="I147" i="35"/>
  <c r="K147" i="35" s="1"/>
  <c r="I146" i="35"/>
  <c r="K146" i="35" s="1"/>
  <c r="I145" i="35"/>
  <c r="K145" i="35" s="1"/>
  <c r="I144" i="35"/>
  <c r="K144" i="35" s="1"/>
  <c r="I143" i="35"/>
  <c r="K143" i="35" s="1"/>
  <c r="I142" i="35"/>
  <c r="K142" i="35" s="1"/>
  <c r="I141" i="35"/>
  <c r="K141" i="35" s="1"/>
  <c r="I140" i="35"/>
  <c r="K140" i="35" s="1"/>
  <c r="I139" i="35"/>
  <c r="K139" i="35" s="1"/>
  <c r="K138" i="35"/>
  <c r="I138" i="35"/>
  <c r="M138" i="35" s="1"/>
  <c r="I137" i="35"/>
  <c r="K137" i="35" s="1"/>
  <c r="I136" i="35"/>
  <c r="K136" i="35" s="1"/>
  <c r="I135" i="35"/>
  <c r="I134" i="35"/>
  <c r="K134" i="35" s="1"/>
  <c r="I133" i="35"/>
  <c r="K133" i="35" s="1"/>
  <c r="I132" i="35"/>
  <c r="K132" i="35" s="1"/>
  <c r="I131" i="35"/>
  <c r="I130" i="35"/>
  <c r="K130" i="35" s="1"/>
  <c r="I129" i="35"/>
  <c r="K129" i="35" s="1"/>
  <c r="I128" i="35"/>
  <c r="I127" i="35"/>
  <c r="K127" i="35" s="1"/>
  <c r="I126" i="35"/>
  <c r="K126" i="35" s="1"/>
  <c r="I125" i="35"/>
  <c r="K125" i="35" s="1"/>
  <c r="I124" i="35"/>
  <c r="I123" i="35"/>
  <c r="K123" i="35" s="1"/>
  <c r="I122" i="35"/>
  <c r="K122" i="35" s="1"/>
  <c r="I121" i="35"/>
  <c r="I120" i="35"/>
  <c r="K120" i="35" s="1"/>
  <c r="I119" i="35"/>
  <c r="K119" i="35" s="1"/>
  <c r="I118" i="35"/>
  <c r="K118" i="35" s="1"/>
  <c r="I117" i="35"/>
  <c r="I116" i="35"/>
  <c r="K116" i="35" s="1"/>
  <c r="I115" i="35"/>
  <c r="K115" i="35" s="1"/>
  <c r="I114" i="35"/>
  <c r="K114" i="35" s="1"/>
  <c r="I113" i="35"/>
  <c r="K113" i="35" s="1"/>
  <c r="I112" i="35"/>
  <c r="K112" i="35" s="1"/>
  <c r="I111" i="35"/>
  <c r="K111" i="35" s="1"/>
  <c r="I110" i="35"/>
  <c r="K110" i="35" s="1"/>
  <c r="I109" i="35"/>
  <c r="K109" i="35" s="1"/>
  <c r="I108" i="35"/>
  <c r="K108" i="35" s="1"/>
  <c r="I107" i="35"/>
  <c r="K107" i="35" s="1"/>
  <c r="I106" i="35"/>
  <c r="M106" i="35" s="1"/>
  <c r="I105" i="35"/>
  <c r="K105" i="35" s="1"/>
  <c r="I104" i="35"/>
  <c r="M104" i="35" s="1"/>
  <c r="I103" i="35"/>
  <c r="M103" i="35" s="1"/>
  <c r="I102" i="35"/>
  <c r="M102" i="35" s="1"/>
  <c r="I101" i="35"/>
  <c r="N101" i="35" s="1"/>
  <c r="I100" i="35"/>
  <c r="M100" i="35" s="1"/>
  <c r="I99" i="35"/>
  <c r="N99" i="35" s="1"/>
  <c r="I98" i="35"/>
  <c r="N98" i="35" s="1"/>
  <c r="I97" i="35"/>
  <c r="M97" i="35" s="1"/>
  <c r="I96" i="35"/>
  <c r="M96" i="35" s="1"/>
  <c r="I95" i="35"/>
  <c r="M95" i="35" s="1"/>
  <c r="I94" i="35"/>
  <c r="N94" i="35" s="1"/>
  <c r="I93" i="35"/>
  <c r="M93" i="35" s="1"/>
  <c r="I92" i="35"/>
  <c r="M92" i="35" s="1"/>
  <c r="I91" i="35"/>
  <c r="M91" i="35" s="1"/>
  <c r="I90" i="35"/>
  <c r="N90" i="35" s="1"/>
  <c r="I89" i="35"/>
  <c r="M89" i="35" s="1"/>
  <c r="I88" i="35"/>
  <c r="M88" i="35" s="1"/>
  <c r="I87" i="35"/>
  <c r="M87" i="35" s="1"/>
  <c r="I86" i="35"/>
  <c r="N86" i="35" s="1"/>
  <c r="I85" i="35"/>
  <c r="M85" i="35" s="1"/>
  <c r="I84" i="35"/>
  <c r="M84" i="35" s="1"/>
  <c r="I83" i="35"/>
  <c r="M83" i="35" s="1"/>
  <c r="I82" i="35"/>
  <c r="N82" i="35" s="1"/>
  <c r="I81" i="35"/>
  <c r="M81" i="35" s="1"/>
  <c r="I80" i="35"/>
  <c r="M80" i="35" s="1"/>
  <c r="I79" i="35"/>
  <c r="M79" i="35" s="1"/>
  <c r="I78" i="35"/>
  <c r="N78" i="35" s="1"/>
  <c r="I77" i="35"/>
  <c r="M77" i="35" s="1"/>
  <c r="I76" i="35"/>
  <c r="M76" i="35" s="1"/>
  <c r="I75" i="35"/>
  <c r="M75" i="35" s="1"/>
  <c r="I74" i="35"/>
  <c r="N74" i="35" s="1"/>
  <c r="I73" i="35"/>
  <c r="M73" i="35" s="1"/>
  <c r="I72" i="35"/>
  <c r="M72" i="35" s="1"/>
  <c r="I71" i="35"/>
  <c r="M71" i="35" s="1"/>
  <c r="I70" i="35"/>
  <c r="N70" i="35" s="1"/>
  <c r="I69" i="35"/>
  <c r="M69" i="35" s="1"/>
  <c r="I68" i="35"/>
  <c r="M68" i="35" s="1"/>
  <c r="I67" i="35"/>
  <c r="M67" i="35" s="1"/>
  <c r="I66" i="35"/>
  <c r="N66" i="35" s="1"/>
  <c r="I65" i="35"/>
  <c r="M65" i="35" s="1"/>
  <c r="I64" i="35"/>
  <c r="M64" i="35" s="1"/>
  <c r="I63" i="35"/>
  <c r="M63" i="35" s="1"/>
  <c r="I62" i="35"/>
  <c r="N62" i="35" s="1"/>
  <c r="I61" i="35"/>
  <c r="M61" i="35" s="1"/>
  <c r="I60" i="35"/>
  <c r="M60" i="35" s="1"/>
  <c r="I59" i="35"/>
  <c r="M59" i="35" s="1"/>
  <c r="I58" i="35"/>
  <c r="N58" i="35" s="1"/>
  <c r="I57" i="35"/>
  <c r="M57" i="35" s="1"/>
  <c r="I56" i="35"/>
  <c r="M56" i="35" s="1"/>
  <c r="I55" i="35"/>
  <c r="M55" i="35" s="1"/>
  <c r="I54" i="35"/>
  <c r="N54" i="35" s="1"/>
  <c r="I53" i="35"/>
  <c r="M53" i="35" s="1"/>
  <c r="I52" i="35"/>
  <c r="M52" i="35" s="1"/>
  <c r="I51" i="35"/>
  <c r="M51" i="35" s="1"/>
  <c r="I50" i="35"/>
  <c r="N50" i="35" s="1"/>
  <c r="I49" i="35"/>
  <c r="M49" i="35" s="1"/>
  <c r="I48" i="35"/>
  <c r="M48" i="35" s="1"/>
  <c r="I47" i="35"/>
  <c r="M47" i="35" s="1"/>
  <c r="I46" i="35"/>
  <c r="M46" i="35" s="1"/>
  <c r="I45" i="35"/>
  <c r="N45" i="35" s="1"/>
  <c r="I44" i="35"/>
  <c r="M44" i="35" s="1"/>
  <c r="I43" i="35"/>
  <c r="I42" i="35"/>
  <c r="M42" i="35" s="1"/>
  <c r="I41" i="35"/>
  <c r="M41" i="35" s="1"/>
  <c r="I40" i="35"/>
  <c r="M40" i="35" s="1"/>
  <c r="I39" i="35"/>
  <c r="I38" i="35"/>
  <c r="M38" i="35" s="1"/>
  <c r="I37" i="35"/>
  <c r="N37" i="35" s="1"/>
  <c r="I36" i="35"/>
  <c r="M36" i="35" s="1"/>
  <c r="I35" i="35"/>
  <c r="M35" i="35" s="1"/>
  <c r="I34" i="35"/>
  <c r="M34" i="35" s="1"/>
  <c r="I33" i="35"/>
  <c r="N33" i="35" s="1"/>
  <c r="I32" i="35"/>
  <c r="M32" i="35" s="1"/>
  <c r="I31" i="35"/>
  <c r="I30" i="35"/>
  <c r="M30" i="35" s="1"/>
  <c r="I29" i="35"/>
  <c r="M29" i="35" s="1"/>
  <c r="I28" i="35"/>
  <c r="M28" i="35" s="1"/>
  <c r="I27" i="35"/>
  <c r="K27" i="35" s="1"/>
  <c r="I26" i="35"/>
  <c r="K26" i="35" s="1"/>
  <c r="I25" i="35"/>
  <c r="K25" i="35" s="1"/>
  <c r="I24" i="35"/>
  <c r="K24" i="35" s="1"/>
  <c r="I23" i="35"/>
  <c r="M23" i="35" s="1"/>
  <c r="I22" i="35"/>
  <c r="I21" i="35"/>
  <c r="N21" i="35" s="1"/>
  <c r="I20" i="35"/>
  <c r="K20" i="35" s="1"/>
  <c r="I19" i="35"/>
  <c r="M19" i="35" s="1"/>
  <c r="I18" i="35"/>
  <c r="I17" i="35"/>
  <c r="N17" i="35" s="1"/>
  <c r="I16" i="35"/>
  <c r="K16" i="35" s="1"/>
  <c r="I15" i="35"/>
  <c r="M15" i="35" s="1"/>
  <c r="I14" i="35"/>
  <c r="I13" i="35"/>
  <c r="N13" i="35" s="1"/>
  <c r="I12" i="35"/>
  <c r="K12" i="35" s="1"/>
  <c r="I11" i="35"/>
  <c r="M11" i="35" s="1"/>
  <c r="I10" i="35"/>
  <c r="I9" i="35"/>
  <c r="N9" i="35" s="1"/>
  <c r="I8" i="35"/>
  <c r="K8" i="35" s="1"/>
  <c r="I7" i="35"/>
  <c r="M7" i="35" s="1"/>
  <c r="I6" i="35"/>
  <c r="I5" i="35"/>
  <c r="N5" i="35" s="1"/>
  <c r="I4" i="35"/>
  <c r="K4" i="35" s="1"/>
  <c r="N3" i="35"/>
  <c r="I3" i="35"/>
  <c r="M3" i="35" s="1"/>
  <c r="I2" i="35"/>
  <c r="N184" i="36" l="1"/>
  <c r="N12" i="35"/>
  <c r="K15" i="35"/>
  <c r="N73" i="35"/>
  <c r="N15" i="35"/>
  <c r="N49" i="35"/>
  <c r="N81" i="35"/>
  <c r="M134" i="35"/>
  <c r="M86" i="35"/>
  <c r="N19" i="35"/>
  <c r="N57" i="35"/>
  <c r="N89" i="35"/>
  <c r="M122" i="35"/>
  <c r="M70" i="35"/>
  <c r="N65" i="35"/>
  <c r="N97" i="35"/>
  <c r="M178" i="35"/>
  <c r="M118" i="35"/>
  <c r="M54" i="35"/>
  <c r="N8" i="35"/>
  <c r="K11" i="35"/>
  <c r="N71" i="35"/>
  <c r="N87" i="35"/>
  <c r="N95" i="35"/>
  <c r="M50" i="35"/>
  <c r="N4" i="35"/>
  <c r="K7" i="35"/>
  <c r="N11" i="35"/>
  <c r="N20" i="35"/>
  <c r="K23" i="35"/>
  <c r="N53" i="35"/>
  <c r="N61" i="35"/>
  <c r="N69" i="35"/>
  <c r="N77" i="35"/>
  <c r="N85" i="35"/>
  <c r="N93" i="35"/>
  <c r="M170" i="35"/>
  <c r="M154" i="35"/>
  <c r="M130" i="35"/>
  <c r="M114" i="35"/>
  <c r="M94" i="35"/>
  <c r="M78" i="35"/>
  <c r="M62" i="35"/>
  <c r="M162" i="35"/>
  <c r="N24" i="35"/>
  <c r="N27" i="35"/>
  <c r="N55" i="35"/>
  <c r="N63" i="35"/>
  <c r="N79" i="35"/>
  <c r="M177" i="35"/>
  <c r="M158" i="35"/>
  <c r="M98" i="35"/>
  <c r="M82" i="35"/>
  <c r="M66" i="35"/>
  <c r="K3" i="35"/>
  <c r="N7" i="35"/>
  <c r="N16" i="35"/>
  <c r="K19" i="35"/>
  <c r="N23" i="35"/>
  <c r="N51" i="35"/>
  <c r="N59" i="35"/>
  <c r="N67" i="35"/>
  <c r="N75" i="35"/>
  <c r="N83" i="35"/>
  <c r="N91" i="35"/>
  <c r="N103" i="35"/>
  <c r="K106" i="35"/>
  <c r="M182" i="35"/>
  <c r="M166" i="35"/>
  <c r="M150" i="35"/>
  <c r="M126" i="35"/>
  <c r="M90" i="35"/>
  <c r="M74" i="35"/>
  <c r="M58" i="35"/>
  <c r="M26" i="35"/>
  <c r="K131" i="35"/>
  <c r="M131" i="35"/>
  <c r="K181" i="35"/>
  <c r="M181" i="35"/>
  <c r="N18" i="35"/>
  <c r="K18" i="35"/>
  <c r="M18" i="35"/>
  <c r="N31" i="35"/>
  <c r="M31" i="35"/>
  <c r="N39" i="35"/>
  <c r="M39" i="35"/>
  <c r="N43" i="35"/>
  <c r="M43" i="35"/>
  <c r="K124" i="35"/>
  <c r="M124" i="35"/>
  <c r="K163" i="35"/>
  <c r="M163" i="35"/>
  <c r="K167" i="35"/>
  <c r="M167" i="35"/>
  <c r="M146" i="35"/>
  <c r="M14" i="35"/>
  <c r="N14" i="35"/>
  <c r="K14" i="35"/>
  <c r="K117" i="35"/>
  <c r="M117" i="35"/>
  <c r="K121" i="35"/>
  <c r="M121" i="35"/>
  <c r="K156" i="35"/>
  <c r="M156" i="35"/>
  <c r="K160" i="35"/>
  <c r="M160" i="35"/>
  <c r="M174" i="35"/>
  <c r="M142" i="35"/>
  <c r="M110" i="35"/>
  <c r="N6" i="35"/>
  <c r="K6" i="35"/>
  <c r="M6" i="35"/>
  <c r="N22" i="35"/>
  <c r="K22" i="35"/>
  <c r="M22" i="35"/>
  <c r="K135" i="35"/>
  <c r="M135" i="35"/>
  <c r="M2" i="35"/>
  <c r="N2" i="35"/>
  <c r="K2" i="35"/>
  <c r="K128" i="35"/>
  <c r="M128" i="35"/>
  <c r="N10" i="35"/>
  <c r="M10" i="35"/>
  <c r="K10" i="35"/>
  <c r="K149" i="35"/>
  <c r="M149" i="35"/>
  <c r="K153" i="35"/>
  <c r="M153" i="35"/>
  <c r="M173" i="35"/>
  <c r="M169" i="35"/>
  <c r="M165" i="35"/>
  <c r="M161" i="35"/>
  <c r="M157" i="35"/>
  <c r="M145" i="35"/>
  <c r="M141" i="35"/>
  <c r="M137" i="35"/>
  <c r="M133" i="35"/>
  <c r="M129" i="35"/>
  <c r="M125" i="35"/>
  <c r="M113" i="35"/>
  <c r="M109" i="35"/>
  <c r="M105" i="35"/>
  <c r="M101" i="35"/>
  <c r="M45" i="35"/>
  <c r="M37" i="35"/>
  <c r="M33" i="35"/>
  <c r="M25" i="35"/>
  <c r="M21" i="35"/>
  <c r="M17" i="35"/>
  <c r="M13" i="35"/>
  <c r="M9" i="35"/>
  <c r="M5" i="35"/>
  <c r="K5" i="35"/>
  <c r="K9" i="35"/>
  <c r="K13" i="35"/>
  <c r="K17" i="35"/>
  <c r="K21" i="35"/>
  <c r="N48" i="35"/>
  <c r="N52" i="35"/>
  <c r="N56" i="35"/>
  <c r="N60" i="35"/>
  <c r="N64" i="35"/>
  <c r="N68" i="35"/>
  <c r="N72" i="35"/>
  <c r="N76" i="35"/>
  <c r="N80" i="35"/>
  <c r="N84" i="35"/>
  <c r="N88" i="35"/>
  <c r="N92" i="35"/>
  <c r="N96" i="35"/>
  <c r="M180" i="35"/>
  <c r="M176" i="35"/>
  <c r="M172" i="35"/>
  <c r="M168" i="35"/>
  <c r="M164" i="35"/>
  <c r="M152" i="35"/>
  <c r="M148" i="35"/>
  <c r="M144" i="35"/>
  <c r="M140" i="35"/>
  <c r="M136" i="35"/>
  <c r="M132" i="35"/>
  <c r="M120" i="35"/>
  <c r="M116" i="35"/>
  <c r="M112" i="35"/>
  <c r="M108" i="35"/>
  <c r="M24" i="35"/>
  <c r="M20" i="35"/>
  <c r="M16" i="35"/>
  <c r="M12" i="35"/>
  <c r="M8" i="35"/>
  <c r="M4" i="35"/>
  <c r="M179" i="35"/>
  <c r="M175" i="35"/>
  <c r="M171" i="35"/>
  <c r="M159" i="35"/>
  <c r="M155" i="35"/>
  <c r="M151" i="35"/>
  <c r="M147" i="35"/>
  <c r="M143" i="35"/>
  <c r="M139" i="35"/>
  <c r="M127" i="35"/>
  <c r="M123" i="35"/>
  <c r="M119" i="35"/>
  <c r="M115" i="35"/>
  <c r="M111" i="35"/>
  <c r="M107" i="35"/>
  <c r="M99" i="35"/>
  <c r="M27" i="35"/>
  <c r="K29" i="35"/>
  <c r="K35" i="35"/>
  <c r="K41" i="35"/>
  <c r="K47" i="35"/>
  <c r="N29" i="35"/>
  <c r="N35" i="35"/>
  <c r="N41" i="35"/>
  <c r="N47" i="35"/>
  <c r="K33" i="35"/>
  <c r="K39" i="35"/>
  <c r="K45" i="35"/>
  <c r="N26" i="35"/>
  <c r="K28" i="35"/>
  <c r="K30" i="35"/>
  <c r="K32" i="35"/>
  <c r="K34" i="35"/>
  <c r="K36" i="35"/>
  <c r="K38" i="35"/>
  <c r="K40" i="35"/>
  <c r="K42" i="35"/>
  <c r="K44" i="35"/>
  <c r="K46" i="35"/>
  <c r="K31" i="35"/>
  <c r="K37" i="35"/>
  <c r="K43" i="35"/>
  <c r="N25" i="35"/>
  <c r="N28" i="35"/>
  <c r="N30" i="35"/>
  <c r="N32" i="35"/>
  <c r="N34" i="35"/>
  <c r="N36" i="35"/>
  <c r="N38" i="35"/>
  <c r="N40" i="35"/>
  <c r="N42" i="35"/>
  <c r="N44" i="35"/>
  <c r="N46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102" i="35"/>
  <c r="N183" i="35"/>
  <c r="K99" i="35"/>
  <c r="K101" i="35"/>
  <c r="K103" i="35"/>
  <c r="K183" i="35"/>
  <c r="K100" i="35"/>
  <c r="N104" i="35"/>
  <c r="N100" i="35"/>
  <c r="N102" i="35"/>
  <c r="N105" i="35"/>
  <c r="N107" i="35"/>
  <c r="N109" i="35"/>
  <c r="N111" i="35"/>
  <c r="N113" i="35"/>
  <c r="N115" i="35"/>
  <c r="N117" i="35"/>
  <c r="N119" i="35"/>
  <c r="N121" i="35"/>
  <c r="N123" i="35"/>
  <c r="N125" i="35"/>
  <c r="N127" i="35"/>
  <c r="N129" i="35"/>
  <c r="N131" i="35"/>
  <c r="N133" i="35"/>
  <c r="N135" i="35"/>
  <c r="N137" i="35"/>
  <c r="N139" i="35"/>
  <c r="N141" i="35"/>
  <c r="N143" i="35"/>
  <c r="N145" i="35"/>
  <c r="N147" i="35"/>
  <c r="N149" i="35"/>
  <c r="N151" i="35"/>
  <c r="N153" i="35"/>
  <c r="N155" i="35"/>
  <c r="N157" i="35"/>
  <c r="N159" i="35"/>
  <c r="N161" i="35"/>
  <c r="N163" i="35"/>
  <c r="N165" i="35"/>
  <c r="N167" i="35"/>
  <c r="N169" i="35"/>
  <c r="N171" i="35"/>
  <c r="N173" i="35"/>
  <c r="N175" i="35"/>
  <c r="N177" i="35"/>
  <c r="N179" i="35"/>
  <c r="N181" i="35"/>
  <c r="N106" i="35"/>
  <c r="N108" i="35"/>
  <c r="N110" i="35"/>
  <c r="N112" i="35"/>
  <c r="N114" i="35"/>
  <c r="N116" i="35"/>
  <c r="N118" i="35"/>
  <c r="N120" i="35"/>
  <c r="N122" i="35"/>
  <c r="N124" i="35"/>
  <c r="N126" i="35"/>
  <c r="N128" i="35"/>
  <c r="N130" i="35"/>
  <c r="N132" i="35"/>
  <c r="N134" i="35"/>
  <c r="N136" i="35"/>
  <c r="N138" i="35"/>
  <c r="N140" i="35"/>
  <c r="N142" i="35"/>
  <c r="N144" i="35"/>
  <c r="N146" i="35"/>
  <c r="N148" i="35"/>
  <c r="N150" i="35"/>
  <c r="N152" i="35"/>
  <c r="N154" i="35"/>
  <c r="N156" i="35"/>
  <c r="N158" i="35"/>
  <c r="N160" i="35"/>
  <c r="N162" i="35"/>
  <c r="N164" i="35"/>
  <c r="N166" i="35"/>
  <c r="N168" i="35"/>
  <c r="N170" i="35"/>
  <c r="N172" i="35"/>
  <c r="N174" i="35"/>
  <c r="N176" i="35"/>
  <c r="N178" i="35"/>
  <c r="N180" i="35"/>
  <c r="N182" i="35"/>
  <c r="N184" i="35" l="1"/>
  <c r="I183" i="34" l="1"/>
  <c r="N183" i="34" s="1"/>
  <c r="I182" i="34"/>
  <c r="N182" i="34" s="1"/>
  <c r="I181" i="34"/>
  <c r="N181" i="34" s="1"/>
  <c r="I180" i="34"/>
  <c r="N180" i="34" s="1"/>
  <c r="I179" i="34"/>
  <c r="N179" i="34" s="1"/>
  <c r="I178" i="34"/>
  <c r="N178" i="34" s="1"/>
  <c r="I177" i="34"/>
  <c r="N177" i="34" s="1"/>
  <c r="I176" i="34"/>
  <c r="N176" i="34" s="1"/>
  <c r="I175" i="34"/>
  <c r="N175" i="34" s="1"/>
  <c r="I174" i="34"/>
  <c r="N174" i="34" s="1"/>
  <c r="I173" i="34"/>
  <c r="N173" i="34" s="1"/>
  <c r="I172" i="34"/>
  <c r="N172" i="34" s="1"/>
  <c r="I171" i="34"/>
  <c r="N171" i="34" s="1"/>
  <c r="I170" i="34"/>
  <c r="N170" i="34" s="1"/>
  <c r="I169" i="34"/>
  <c r="N169" i="34" s="1"/>
  <c r="I168" i="34"/>
  <c r="N168" i="34" s="1"/>
  <c r="I167" i="34"/>
  <c r="N167" i="34" s="1"/>
  <c r="I166" i="34"/>
  <c r="I165" i="34"/>
  <c r="I164" i="34"/>
  <c r="I163" i="34"/>
  <c r="I162" i="34"/>
  <c r="K162" i="34" s="1"/>
  <c r="I161" i="34"/>
  <c r="I160" i="34"/>
  <c r="I159" i="34"/>
  <c r="I158" i="34"/>
  <c r="K158" i="34" s="1"/>
  <c r="I157" i="34"/>
  <c r="I156" i="34"/>
  <c r="I155" i="34"/>
  <c r="I154" i="34"/>
  <c r="K154" i="34" s="1"/>
  <c r="I153" i="34"/>
  <c r="I152" i="34"/>
  <c r="I151" i="34"/>
  <c r="I150" i="34"/>
  <c r="K150" i="34" s="1"/>
  <c r="I149" i="34"/>
  <c r="I148" i="34"/>
  <c r="I147" i="34"/>
  <c r="I146" i="34"/>
  <c r="K146" i="34" s="1"/>
  <c r="I145" i="34"/>
  <c r="I144" i="34"/>
  <c r="I143" i="34"/>
  <c r="I142" i="34"/>
  <c r="K142" i="34" s="1"/>
  <c r="I141" i="34"/>
  <c r="I140" i="34"/>
  <c r="I139" i="34"/>
  <c r="I138" i="34"/>
  <c r="K138" i="34" s="1"/>
  <c r="I137" i="34"/>
  <c r="I136" i="34"/>
  <c r="I135" i="34"/>
  <c r="I134" i="34"/>
  <c r="K134" i="34" s="1"/>
  <c r="I133" i="34"/>
  <c r="I132" i="34"/>
  <c r="I131" i="34"/>
  <c r="I130" i="34"/>
  <c r="K130" i="34" s="1"/>
  <c r="I129" i="34"/>
  <c r="I128" i="34"/>
  <c r="I127" i="34"/>
  <c r="I126" i="34"/>
  <c r="K126" i="34" s="1"/>
  <c r="I125" i="34"/>
  <c r="I124" i="34"/>
  <c r="I123" i="34"/>
  <c r="I122" i="34"/>
  <c r="K122" i="34" s="1"/>
  <c r="I121" i="34"/>
  <c r="I120" i="34"/>
  <c r="I119" i="34"/>
  <c r="I118" i="34"/>
  <c r="K118" i="34" s="1"/>
  <c r="I117" i="34"/>
  <c r="I116" i="34"/>
  <c r="I115" i="34"/>
  <c r="I114" i="34"/>
  <c r="K114" i="34" s="1"/>
  <c r="I113" i="34"/>
  <c r="I112" i="34"/>
  <c r="I111" i="34"/>
  <c r="I110" i="34"/>
  <c r="K110" i="34" s="1"/>
  <c r="I109" i="34"/>
  <c r="I108" i="34"/>
  <c r="I107" i="34"/>
  <c r="I106" i="34"/>
  <c r="K106" i="34" s="1"/>
  <c r="I105" i="34"/>
  <c r="I104" i="34"/>
  <c r="I103" i="34"/>
  <c r="N103" i="34" s="1"/>
  <c r="I102" i="34"/>
  <c r="N102" i="34" s="1"/>
  <c r="I101" i="34"/>
  <c r="N101" i="34" s="1"/>
  <c r="I100" i="34"/>
  <c r="N100" i="34" s="1"/>
  <c r="I99" i="34"/>
  <c r="N99" i="34" s="1"/>
  <c r="I98" i="34"/>
  <c r="M98" i="34" s="1"/>
  <c r="I97" i="34"/>
  <c r="M97" i="34" s="1"/>
  <c r="I96" i="34"/>
  <c r="M96" i="34" s="1"/>
  <c r="I95" i="34"/>
  <c r="M95" i="34" s="1"/>
  <c r="I94" i="34"/>
  <c r="M94" i="34" s="1"/>
  <c r="I93" i="34"/>
  <c r="M93" i="34" s="1"/>
  <c r="I92" i="34"/>
  <c r="M92" i="34" s="1"/>
  <c r="I91" i="34"/>
  <c r="M91" i="34" s="1"/>
  <c r="I90" i="34"/>
  <c r="M90" i="34" s="1"/>
  <c r="I89" i="34"/>
  <c r="M89" i="34" s="1"/>
  <c r="I88" i="34"/>
  <c r="M88" i="34" s="1"/>
  <c r="I87" i="34"/>
  <c r="M87" i="34" s="1"/>
  <c r="I86" i="34"/>
  <c r="M86" i="34" s="1"/>
  <c r="I85" i="34"/>
  <c r="M85" i="34" s="1"/>
  <c r="I84" i="34"/>
  <c r="M84" i="34" s="1"/>
  <c r="I83" i="34"/>
  <c r="M83" i="34" s="1"/>
  <c r="I82" i="34"/>
  <c r="M82" i="34" s="1"/>
  <c r="I81" i="34"/>
  <c r="M81" i="34" s="1"/>
  <c r="I80" i="34"/>
  <c r="M80" i="34" s="1"/>
  <c r="I79" i="34"/>
  <c r="M79" i="34" s="1"/>
  <c r="I78" i="34"/>
  <c r="M78" i="34" s="1"/>
  <c r="I77" i="34"/>
  <c r="M77" i="34" s="1"/>
  <c r="I76" i="34"/>
  <c r="M76" i="34" s="1"/>
  <c r="I75" i="34"/>
  <c r="M75" i="34" s="1"/>
  <c r="I74" i="34"/>
  <c r="M74" i="34" s="1"/>
  <c r="I73" i="34"/>
  <c r="M73" i="34" s="1"/>
  <c r="I72" i="34"/>
  <c r="M72" i="34" s="1"/>
  <c r="I71" i="34"/>
  <c r="M71" i="34" s="1"/>
  <c r="I70" i="34"/>
  <c r="N70" i="34" s="1"/>
  <c r="I69" i="34"/>
  <c r="N69" i="34" s="1"/>
  <c r="I68" i="34"/>
  <c r="N68" i="34" s="1"/>
  <c r="I67" i="34"/>
  <c r="N67" i="34" s="1"/>
  <c r="I66" i="34"/>
  <c r="N66" i="34" s="1"/>
  <c r="I65" i="34"/>
  <c r="N65" i="34" s="1"/>
  <c r="I64" i="34"/>
  <c r="N64" i="34" s="1"/>
  <c r="I63" i="34"/>
  <c r="N63" i="34" s="1"/>
  <c r="I62" i="34"/>
  <c r="N62" i="34" s="1"/>
  <c r="I61" i="34"/>
  <c r="N61" i="34" s="1"/>
  <c r="I60" i="34"/>
  <c r="N60" i="34" s="1"/>
  <c r="I59" i="34"/>
  <c r="N59" i="34" s="1"/>
  <c r="I58" i="34"/>
  <c r="N58" i="34" s="1"/>
  <c r="I57" i="34"/>
  <c r="N57" i="34" s="1"/>
  <c r="I56" i="34"/>
  <c r="N56" i="34" s="1"/>
  <c r="I55" i="34"/>
  <c r="N55" i="34" s="1"/>
  <c r="I54" i="34"/>
  <c r="N54" i="34" s="1"/>
  <c r="I53" i="34"/>
  <c r="N53" i="34" s="1"/>
  <c r="I52" i="34"/>
  <c r="N52" i="34" s="1"/>
  <c r="I51" i="34"/>
  <c r="N51" i="34" s="1"/>
  <c r="I50" i="34"/>
  <c r="N50" i="34" s="1"/>
  <c r="I49" i="34"/>
  <c r="N49" i="34" s="1"/>
  <c r="I48" i="34"/>
  <c r="N48" i="34" s="1"/>
  <c r="I47" i="34"/>
  <c r="N47" i="34" s="1"/>
  <c r="I46" i="34"/>
  <c r="N46" i="34" s="1"/>
  <c r="I45" i="34"/>
  <c r="N45" i="34" s="1"/>
  <c r="I44" i="34"/>
  <c r="N44" i="34" s="1"/>
  <c r="I43" i="34"/>
  <c r="N43" i="34" s="1"/>
  <c r="I42" i="34"/>
  <c r="N42" i="34" s="1"/>
  <c r="I41" i="34"/>
  <c r="N41" i="34" s="1"/>
  <c r="I40" i="34"/>
  <c r="N40" i="34" s="1"/>
  <c r="I39" i="34"/>
  <c r="N39" i="34" s="1"/>
  <c r="I38" i="34"/>
  <c r="N38" i="34" s="1"/>
  <c r="I37" i="34"/>
  <c r="N37" i="34" s="1"/>
  <c r="I36" i="34"/>
  <c r="N36" i="34" s="1"/>
  <c r="I35" i="34"/>
  <c r="N35" i="34" s="1"/>
  <c r="I34" i="34"/>
  <c r="N34" i="34" s="1"/>
  <c r="I33" i="34"/>
  <c r="N33" i="34" s="1"/>
  <c r="I32" i="34"/>
  <c r="N32" i="34" s="1"/>
  <c r="I31" i="34"/>
  <c r="N31" i="34" s="1"/>
  <c r="I30" i="34"/>
  <c r="N30" i="34" s="1"/>
  <c r="I29" i="34"/>
  <c r="N29" i="34" s="1"/>
  <c r="I28" i="34"/>
  <c r="N28" i="34" s="1"/>
  <c r="I27" i="34"/>
  <c r="N27" i="34" s="1"/>
  <c r="I26" i="34"/>
  <c r="N26" i="34" s="1"/>
  <c r="I25" i="34"/>
  <c r="N25" i="34" s="1"/>
  <c r="I24" i="34"/>
  <c r="N24" i="34" s="1"/>
  <c r="I23" i="34"/>
  <c r="N23" i="34" s="1"/>
  <c r="I22" i="34"/>
  <c r="N22" i="34" s="1"/>
  <c r="I21" i="34"/>
  <c r="N21" i="34" s="1"/>
  <c r="I20" i="34"/>
  <c r="N20" i="34" s="1"/>
  <c r="I19" i="34"/>
  <c r="N19" i="34" s="1"/>
  <c r="I18" i="34"/>
  <c r="N18" i="34" s="1"/>
  <c r="I17" i="34"/>
  <c r="N17" i="34" s="1"/>
  <c r="I16" i="34"/>
  <c r="N16" i="34" s="1"/>
  <c r="I15" i="34"/>
  <c r="N15" i="34" s="1"/>
  <c r="I14" i="34"/>
  <c r="N14" i="34" s="1"/>
  <c r="I13" i="34"/>
  <c r="N13" i="34" s="1"/>
  <c r="I12" i="34"/>
  <c r="N12" i="34" s="1"/>
  <c r="I11" i="34"/>
  <c r="N11" i="34" s="1"/>
  <c r="I10" i="34"/>
  <c r="N10" i="34" s="1"/>
  <c r="I9" i="34"/>
  <c r="N9" i="34" s="1"/>
  <c r="I8" i="34"/>
  <c r="N8" i="34" s="1"/>
  <c r="I7" i="34"/>
  <c r="N7" i="34" s="1"/>
  <c r="I6" i="34"/>
  <c r="N6" i="34" s="1"/>
  <c r="I5" i="34"/>
  <c r="N5" i="34" s="1"/>
  <c r="I4" i="34"/>
  <c r="N4" i="34" s="1"/>
  <c r="I3" i="34"/>
  <c r="N3" i="34" s="1"/>
  <c r="I2" i="34"/>
  <c r="N79" i="34" l="1"/>
  <c r="N83" i="34"/>
  <c r="N71" i="34"/>
  <c r="N75" i="34"/>
  <c r="N91" i="34"/>
  <c r="K12" i="34"/>
  <c r="N87" i="34"/>
  <c r="N95" i="34"/>
  <c r="K18" i="34"/>
  <c r="K22" i="34"/>
  <c r="K32" i="34"/>
  <c r="K36" i="34"/>
  <c r="K40" i="34"/>
  <c r="K44" i="34"/>
  <c r="K46" i="34"/>
  <c r="K52" i="34"/>
  <c r="K58" i="34"/>
  <c r="K62" i="34"/>
  <c r="K66" i="34"/>
  <c r="K70" i="34"/>
  <c r="N82" i="34"/>
  <c r="N90" i="34"/>
  <c r="K10" i="34"/>
  <c r="K20" i="34"/>
  <c r="K24" i="34"/>
  <c r="K26" i="34"/>
  <c r="K28" i="34"/>
  <c r="K30" i="34"/>
  <c r="K34" i="34"/>
  <c r="K38" i="34"/>
  <c r="K42" i="34"/>
  <c r="K48" i="34"/>
  <c r="K50" i="34"/>
  <c r="K54" i="34"/>
  <c r="K56" i="34"/>
  <c r="K60" i="34"/>
  <c r="K64" i="34"/>
  <c r="K68" i="34"/>
  <c r="N74" i="34"/>
  <c r="N78" i="34"/>
  <c r="N86" i="34"/>
  <c r="N94" i="34"/>
  <c r="N98" i="34"/>
  <c r="K8" i="34"/>
  <c r="K16" i="34"/>
  <c r="K6" i="34"/>
  <c r="K14" i="34"/>
  <c r="K19" i="34"/>
  <c r="K21" i="34"/>
  <c r="K23" i="34"/>
  <c r="K25" i="34"/>
  <c r="K27" i="34"/>
  <c r="K29" i="34"/>
  <c r="K31" i="34"/>
  <c r="K33" i="34"/>
  <c r="K35" i="34"/>
  <c r="K37" i="34"/>
  <c r="K39" i="34"/>
  <c r="K41" i="34"/>
  <c r="K43" i="34"/>
  <c r="K45" i="34"/>
  <c r="K47" i="34"/>
  <c r="K49" i="34"/>
  <c r="K51" i="34"/>
  <c r="K53" i="34"/>
  <c r="K55" i="34"/>
  <c r="K57" i="34"/>
  <c r="K59" i="34"/>
  <c r="K61" i="34"/>
  <c r="K63" i="34"/>
  <c r="K65" i="34"/>
  <c r="K67" i="34"/>
  <c r="K69" i="34"/>
  <c r="K71" i="34"/>
  <c r="K73" i="34"/>
  <c r="K75" i="34"/>
  <c r="K77" i="34"/>
  <c r="K79" i="34"/>
  <c r="K81" i="34"/>
  <c r="K83" i="34"/>
  <c r="K85" i="34"/>
  <c r="K87" i="34"/>
  <c r="K89" i="34"/>
  <c r="K91" i="34"/>
  <c r="K93" i="34"/>
  <c r="K95" i="34"/>
  <c r="K97" i="34"/>
  <c r="K72" i="34"/>
  <c r="N73" i="34"/>
  <c r="K76" i="34"/>
  <c r="N77" i="34"/>
  <c r="K80" i="34"/>
  <c r="N81" i="34"/>
  <c r="K84" i="34"/>
  <c r="N85" i="34"/>
  <c r="K88" i="34"/>
  <c r="N89" i="34"/>
  <c r="K92" i="34"/>
  <c r="N93" i="34"/>
  <c r="K96" i="34"/>
  <c r="N97" i="34"/>
  <c r="K168" i="34"/>
  <c r="K170" i="34"/>
  <c r="K172" i="34"/>
  <c r="K174" i="34"/>
  <c r="K176" i="34"/>
  <c r="K178" i="34"/>
  <c r="K180" i="34"/>
  <c r="K182" i="34"/>
  <c r="K5" i="34"/>
  <c r="K7" i="34"/>
  <c r="K9" i="34"/>
  <c r="K11" i="34"/>
  <c r="K13" i="34"/>
  <c r="K15" i="34"/>
  <c r="K17" i="34"/>
  <c r="N72" i="34"/>
  <c r="N76" i="34"/>
  <c r="N80" i="34"/>
  <c r="N84" i="34"/>
  <c r="N88" i="34"/>
  <c r="N92" i="34"/>
  <c r="N96" i="34"/>
  <c r="K74" i="34"/>
  <c r="K78" i="34"/>
  <c r="K82" i="34"/>
  <c r="K86" i="34"/>
  <c r="K90" i="34"/>
  <c r="K94" i="34"/>
  <c r="K98" i="34"/>
  <c r="K167" i="34"/>
  <c r="K169" i="34"/>
  <c r="K171" i="34"/>
  <c r="K173" i="34"/>
  <c r="K175" i="34"/>
  <c r="K177" i="34"/>
  <c r="K179" i="34"/>
  <c r="K181" i="34"/>
  <c r="K183" i="34"/>
  <c r="N2" i="34"/>
  <c r="M2" i="34"/>
  <c r="K2" i="34"/>
  <c r="K4" i="34"/>
  <c r="N108" i="34"/>
  <c r="M108" i="34"/>
  <c r="N112" i="34"/>
  <c r="M112" i="34"/>
  <c r="N116" i="34"/>
  <c r="M116" i="34"/>
  <c r="N120" i="34"/>
  <c r="M120" i="34"/>
  <c r="N124" i="34"/>
  <c r="M124" i="34"/>
  <c r="N128" i="34"/>
  <c r="M128" i="34"/>
  <c r="N132" i="34"/>
  <c r="M132" i="34"/>
  <c r="N136" i="34"/>
  <c r="M136" i="34"/>
  <c r="N140" i="34"/>
  <c r="M140" i="34"/>
  <c r="N144" i="34"/>
  <c r="M144" i="34"/>
  <c r="N148" i="34"/>
  <c r="M148" i="34"/>
  <c r="N152" i="34"/>
  <c r="M152" i="34"/>
  <c r="N156" i="34"/>
  <c r="M156" i="34"/>
  <c r="N160" i="34"/>
  <c r="M160" i="34"/>
  <c r="N164" i="34"/>
  <c r="M164" i="34"/>
  <c r="N166" i="34"/>
  <c r="M166" i="34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64" i="34"/>
  <c r="M65" i="34"/>
  <c r="M66" i="34"/>
  <c r="M67" i="34"/>
  <c r="M68" i="34"/>
  <c r="M69" i="34"/>
  <c r="M70" i="34"/>
  <c r="M100" i="34"/>
  <c r="K100" i="34"/>
  <c r="M102" i="34"/>
  <c r="K102" i="34"/>
  <c r="N104" i="34"/>
  <c r="M104" i="34"/>
  <c r="K108" i="34"/>
  <c r="K112" i="34"/>
  <c r="K116" i="34"/>
  <c r="K120" i="34"/>
  <c r="K124" i="34"/>
  <c r="K128" i="34"/>
  <c r="K132" i="34"/>
  <c r="K136" i="34"/>
  <c r="K140" i="34"/>
  <c r="K144" i="34"/>
  <c r="K148" i="34"/>
  <c r="K152" i="34"/>
  <c r="K156" i="34"/>
  <c r="K160" i="34"/>
  <c r="K164" i="34"/>
  <c r="K166" i="34"/>
  <c r="K3" i="34"/>
  <c r="N106" i="34"/>
  <c r="M106" i="34"/>
  <c r="N110" i="34"/>
  <c r="M110" i="34"/>
  <c r="N114" i="34"/>
  <c r="M114" i="34"/>
  <c r="N118" i="34"/>
  <c r="M118" i="34"/>
  <c r="N122" i="34"/>
  <c r="M122" i="34"/>
  <c r="N126" i="34"/>
  <c r="M126" i="34"/>
  <c r="N130" i="34"/>
  <c r="M130" i="34"/>
  <c r="N134" i="34"/>
  <c r="M134" i="34"/>
  <c r="N138" i="34"/>
  <c r="M138" i="34"/>
  <c r="N142" i="34"/>
  <c r="M142" i="34"/>
  <c r="N146" i="34"/>
  <c r="M146" i="34"/>
  <c r="N150" i="34"/>
  <c r="M150" i="34"/>
  <c r="N154" i="34"/>
  <c r="M154" i="34"/>
  <c r="N158" i="34"/>
  <c r="M158" i="34"/>
  <c r="N162" i="34"/>
  <c r="M162" i="34"/>
  <c r="N105" i="34"/>
  <c r="M105" i="34"/>
  <c r="N107" i="34"/>
  <c r="M107" i="34"/>
  <c r="N109" i="34"/>
  <c r="M109" i="34"/>
  <c r="N111" i="34"/>
  <c r="M111" i="34"/>
  <c r="N113" i="34"/>
  <c r="M113" i="34"/>
  <c r="N115" i="34"/>
  <c r="M115" i="34"/>
  <c r="N117" i="34"/>
  <c r="M117" i="34"/>
  <c r="N119" i="34"/>
  <c r="M119" i="34"/>
  <c r="N121" i="34"/>
  <c r="M121" i="34"/>
  <c r="N123" i="34"/>
  <c r="M123" i="34"/>
  <c r="N125" i="34"/>
  <c r="M125" i="34"/>
  <c r="N127" i="34"/>
  <c r="M127" i="34"/>
  <c r="N129" i="34"/>
  <c r="M129" i="34"/>
  <c r="N131" i="34"/>
  <c r="M131" i="34"/>
  <c r="N133" i="34"/>
  <c r="M133" i="34"/>
  <c r="N135" i="34"/>
  <c r="M135" i="34"/>
  <c r="N137" i="34"/>
  <c r="M137" i="34"/>
  <c r="N139" i="34"/>
  <c r="M139" i="34"/>
  <c r="N141" i="34"/>
  <c r="M141" i="34"/>
  <c r="N143" i="34"/>
  <c r="M143" i="34"/>
  <c r="N145" i="34"/>
  <c r="M145" i="34"/>
  <c r="N147" i="34"/>
  <c r="M147" i="34"/>
  <c r="N149" i="34"/>
  <c r="M149" i="34"/>
  <c r="N151" i="34"/>
  <c r="M151" i="34"/>
  <c r="N153" i="34"/>
  <c r="M153" i="34"/>
  <c r="N155" i="34"/>
  <c r="M155" i="34"/>
  <c r="N157" i="34"/>
  <c r="M157" i="34"/>
  <c r="N159" i="34"/>
  <c r="M159" i="34"/>
  <c r="N161" i="34"/>
  <c r="M161" i="34"/>
  <c r="N163" i="34"/>
  <c r="M163" i="34"/>
  <c r="N165" i="34"/>
  <c r="M165" i="34"/>
  <c r="M99" i="34"/>
  <c r="K99" i="34"/>
  <c r="M101" i="34"/>
  <c r="K101" i="34"/>
  <c r="M103" i="34"/>
  <c r="K103" i="34"/>
  <c r="K105" i="34"/>
  <c r="K107" i="34"/>
  <c r="K109" i="34"/>
  <c r="K111" i="34"/>
  <c r="K113" i="34"/>
  <c r="K115" i="34"/>
  <c r="K117" i="34"/>
  <c r="K119" i="34"/>
  <c r="K121" i="34"/>
  <c r="K123" i="34"/>
  <c r="K125" i="34"/>
  <c r="K127" i="34"/>
  <c r="K129" i="34"/>
  <c r="K131" i="34"/>
  <c r="K133" i="34"/>
  <c r="K135" i="34"/>
  <c r="K137" i="34"/>
  <c r="K139" i="34"/>
  <c r="K141" i="34"/>
  <c r="K143" i="34"/>
  <c r="K145" i="34"/>
  <c r="K147" i="34"/>
  <c r="K149" i="34"/>
  <c r="K151" i="34"/>
  <c r="K153" i="34"/>
  <c r="K155" i="34"/>
  <c r="K157" i="34"/>
  <c r="K159" i="34"/>
  <c r="K161" i="34"/>
  <c r="K163" i="34"/>
  <c r="K165" i="34"/>
  <c r="M167" i="34"/>
  <c r="M168" i="34"/>
  <c r="M169" i="34"/>
  <c r="M170" i="34"/>
  <c r="M171" i="34"/>
  <c r="M172" i="34"/>
  <c r="M173" i="34"/>
  <c r="M174" i="34"/>
  <c r="M175" i="34"/>
  <c r="M176" i="34"/>
  <c r="M177" i="34"/>
  <c r="M178" i="34"/>
  <c r="M179" i="34"/>
  <c r="M180" i="34"/>
  <c r="M181" i="34"/>
  <c r="M182" i="34"/>
  <c r="M183" i="34"/>
  <c r="N184" i="34" l="1"/>
  <c r="I183" i="33"/>
  <c r="N183" i="33" s="1"/>
  <c r="I182" i="33"/>
  <c r="I181" i="33"/>
  <c r="I180" i="33"/>
  <c r="I179" i="33"/>
  <c r="N179" i="33" s="1"/>
  <c r="I178" i="33"/>
  <c r="I177" i="33"/>
  <c r="I176" i="33"/>
  <c r="I175" i="33"/>
  <c r="N175" i="33" s="1"/>
  <c r="I174" i="33"/>
  <c r="I173" i="33"/>
  <c r="I172" i="33"/>
  <c r="I171" i="33"/>
  <c r="N171" i="33" s="1"/>
  <c r="I170" i="33"/>
  <c r="I169" i="33"/>
  <c r="I168" i="33"/>
  <c r="I167" i="33"/>
  <c r="N167" i="33" s="1"/>
  <c r="I166" i="33"/>
  <c r="I165" i="33"/>
  <c r="I164" i="33"/>
  <c r="I163" i="33"/>
  <c r="N163" i="33" s="1"/>
  <c r="I162" i="33"/>
  <c r="I161" i="33"/>
  <c r="I160" i="33"/>
  <c r="I159" i="33"/>
  <c r="N159" i="33" s="1"/>
  <c r="I158" i="33"/>
  <c r="I157" i="33"/>
  <c r="I156" i="33"/>
  <c r="I155" i="33"/>
  <c r="N155" i="33" s="1"/>
  <c r="I154" i="33"/>
  <c r="I153" i="33"/>
  <c r="I152" i="33"/>
  <c r="I151" i="33"/>
  <c r="N151" i="33" s="1"/>
  <c r="I150" i="33"/>
  <c r="M150" i="33" s="1"/>
  <c r="I149" i="33"/>
  <c r="I148" i="33"/>
  <c r="I147" i="33"/>
  <c r="N147" i="33" s="1"/>
  <c r="I146" i="33"/>
  <c r="I145" i="33"/>
  <c r="I144" i="33"/>
  <c r="I143" i="33"/>
  <c r="N143" i="33" s="1"/>
  <c r="I142" i="33"/>
  <c r="I141" i="33"/>
  <c r="I140" i="33"/>
  <c r="I139" i="33"/>
  <c r="N139" i="33" s="1"/>
  <c r="I138" i="33"/>
  <c r="K137" i="33"/>
  <c r="I137" i="33"/>
  <c r="I136" i="33"/>
  <c r="I135" i="33"/>
  <c r="N135" i="33" s="1"/>
  <c r="M134" i="33"/>
  <c r="I134" i="33"/>
  <c r="I133" i="33"/>
  <c r="I132" i="33"/>
  <c r="I131" i="33"/>
  <c r="N131" i="33" s="1"/>
  <c r="I130" i="33"/>
  <c r="I129" i="33"/>
  <c r="I128" i="33"/>
  <c r="I127" i="33"/>
  <c r="N127" i="33" s="1"/>
  <c r="I126" i="33"/>
  <c r="I125" i="33"/>
  <c r="I124" i="33"/>
  <c r="I123" i="33"/>
  <c r="N123" i="33" s="1"/>
  <c r="I122" i="33"/>
  <c r="I121" i="33"/>
  <c r="I120" i="33"/>
  <c r="I119" i="33"/>
  <c r="N119" i="33" s="1"/>
  <c r="I118" i="33"/>
  <c r="I117" i="33"/>
  <c r="I116" i="33"/>
  <c r="I115" i="33"/>
  <c r="N115" i="33" s="1"/>
  <c r="I114" i="33"/>
  <c r="I113" i="33"/>
  <c r="I112" i="33"/>
  <c r="I111" i="33"/>
  <c r="N111" i="33" s="1"/>
  <c r="I110" i="33"/>
  <c r="I109" i="33"/>
  <c r="I108" i="33"/>
  <c r="I107" i="33"/>
  <c r="N107" i="33" s="1"/>
  <c r="I106" i="33"/>
  <c r="I105" i="33"/>
  <c r="I104" i="33"/>
  <c r="I103" i="33"/>
  <c r="I102" i="33"/>
  <c r="I101" i="33"/>
  <c r="I100" i="33"/>
  <c r="N100" i="33" s="1"/>
  <c r="I99" i="33"/>
  <c r="I98" i="33"/>
  <c r="I97" i="33"/>
  <c r="I96" i="33"/>
  <c r="N96" i="33" s="1"/>
  <c r="I95" i="33"/>
  <c r="I94" i="33"/>
  <c r="I93" i="33"/>
  <c r="I92" i="33"/>
  <c r="N92" i="33" s="1"/>
  <c r="I91" i="33"/>
  <c r="I90" i="33"/>
  <c r="I89" i="33"/>
  <c r="I88" i="33"/>
  <c r="N88" i="33" s="1"/>
  <c r="I87" i="33"/>
  <c r="I86" i="33"/>
  <c r="I85" i="33"/>
  <c r="I84" i="33"/>
  <c r="N84" i="33" s="1"/>
  <c r="I83" i="33"/>
  <c r="I82" i="33"/>
  <c r="I81" i="33"/>
  <c r="I80" i="33"/>
  <c r="N80" i="33" s="1"/>
  <c r="I79" i="33"/>
  <c r="I78" i="33"/>
  <c r="I77" i="33"/>
  <c r="I76" i="33"/>
  <c r="N76" i="33" s="1"/>
  <c r="I75" i="33"/>
  <c r="I74" i="33"/>
  <c r="I73" i="33"/>
  <c r="I72" i="33"/>
  <c r="N72" i="33" s="1"/>
  <c r="I71" i="33"/>
  <c r="I70" i="33"/>
  <c r="I69" i="33"/>
  <c r="I68" i="33"/>
  <c r="N68" i="33" s="1"/>
  <c r="I67" i="33"/>
  <c r="I66" i="33"/>
  <c r="I65" i="33"/>
  <c r="I64" i="33"/>
  <c r="N64" i="33" s="1"/>
  <c r="I63" i="33"/>
  <c r="I62" i="33"/>
  <c r="I61" i="33"/>
  <c r="I60" i="33"/>
  <c r="N60" i="33" s="1"/>
  <c r="I59" i="33"/>
  <c r="I58" i="33"/>
  <c r="I57" i="33"/>
  <c r="I56" i="33"/>
  <c r="N56" i="33" s="1"/>
  <c r="I55" i="33"/>
  <c r="I54" i="33"/>
  <c r="I53" i="33"/>
  <c r="I52" i="33"/>
  <c r="N52" i="33" s="1"/>
  <c r="I51" i="33"/>
  <c r="I50" i="33"/>
  <c r="M50" i="33" s="1"/>
  <c r="I49" i="33"/>
  <c r="I48" i="33"/>
  <c r="N48" i="33" s="1"/>
  <c r="I47" i="33"/>
  <c r="I46" i="33"/>
  <c r="I45" i="33"/>
  <c r="I44" i="33"/>
  <c r="N44" i="33" s="1"/>
  <c r="I43" i="33"/>
  <c r="I42" i="33"/>
  <c r="I41" i="33"/>
  <c r="I40" i="33"/>
  <c r="N40" i="33" s="1"/>
  <c r="I39" i="33"/>
  <c r="I38" i="33"/>
  <c r="I37" i="33"/>
  <c r="I36" i="33"/>
  <c r="N36" i="33" s="1"/>
  <c r="I35" i="33"/>
  <c r="I34" i="33"/>
  <c r="I33" i="33"/>
  <c r="I32" i="33"/>
  <c r="N32" i="33" s="1"/>
  <c r="I31" i="33"/>
  <c r="I30" i="33"/>
  <c r="I29" i="33"/>
  <c r="I28" i="33"/>
  <c r="N28" i="33" s="1"/>
  <c r="I27" i="33"/>
  <c r="I26" i="33"/>
  <c r="I25" i="33"/>
  <c r="I24" i="33"/>
  <c r="N24" i="33" s="1"/>
  <c r="I23" i="33"/>
  <c r="I22" i="33"/>
  <c r="I21" i="33"/>
  <c r="I20" i="33"/>
  <c r="N20" i="33" s="1"/>
  <c r="I19" i="33"/>
  <c r="I18" i="33"/>
  <c r="I17" i="33"/>
  <c r="I16" i="33"/>
  <c r="N16" i="33" s="1"/>
  <c r="I15" i="33"/>
  <c r="I14" i="33"/>
  <c r="I13" i="33"/>
  <c r="I12" i="33"/>
  <c r="I11" i="33"/>
  <c r="K10" i="33"/>
  <c r="I10" i="33"/>
  <c r="I9" i="33"/>
  <c r="I8" i="33"/>
  <c r="I7" i="33"/>
  <c r="I6" i="33"/>
  <c r="I5" i="33"/>
  <c r="I4" i="33"/>
  <c r="I3" i="33"/>
  <c r="I2" i="33"/>
  <c r="M11" i="33" l="1"/>
  <c r="N11" i="33"/>
  <c r="K23" i="33"/>
  <c r="N23" i="33"/>
  <c r="K35" i="33"/>
  <c r="N35" i="33"/>
  <c r="M46" i="33"/>
  <c r="N46" i="33"/>
  <c r="M57" i="33"/>
  <c r="N57" i="33"/>
  <c r="M104" i="33"/>
  <c r="N104" i="33"/>
  <c r="M116" i="33"/>
  <c r="N116" i="33"/>
  <c r="M132" i="33"/>
  <c r="N132" i="33"/>
  <c r="K142" i="33"/>
  <c r="N142" i="33"/>
  <c r="M153" i="33"/>
  <c r="N153" i="33"/>
  <c r="K161" i="33"/>
  <c r="N161" i="33"/>
  <c r="M169" i="33"/>
  <c r="N169" i="33"/>
  <c r="M173" i="33"/>
  <c r="N173" i="33"/>
  <c r="K12" i="33"/>
  <c r="N12" i="33"/>
  <c r="K47" i="33"/>
  <c r="N47" i="33"/>
  <c r="K54" i="33"/>
  <c r="N54" i="33"/>
  <c r="M62" i="33"/>
  <c r="N62" i="33"/>
  <c r="M66" i="33"/>
  <c r="N66" i="33"/>
  <c r="M70" i="33"/>
  <c r="N70" i="33"/>
  <c r="M73" i="33"/>
  <c r="N73" i="33"/>
  <c r="M77" i="33"/>
  <c r="N77" i="33"/>
  <c r="M81" i="33"/>
  <c r="N81" i="33"/>
  <c r="M85" i="33"/>
  <c r="N85" i="33"/>
  <c r="M89" i="33"/>
  <c r="N89" i="33"/>
  <c r="M93" i="33"/>
  <c r="N93" i="33"/>
  <c r="M97" i="33"/>
  <c r="N97" i="33"/>
  <c r="M101" i="33"/>
  <c r="N101" i="33"/>
  <c r="M105" i="33"/>
  <c r="N105" i="33"/>
  <c r="M109" i="33"/>
  <c r="N109" i="33"/>
  <c r="M113" i="33"/>
  <c r="N113" i="33"/>
  <c r="M117" i="33"/>
  <c r="N117" i="33"/>
  <c r="M121" i="33"/>
  <c r="N121" i="33"/>
  <c r="M125" i="33"/>
  <c r="N125" i="33"/>
  <c r="M129" i="33"/>
  <c r="N129" i="33"/>
  <c r="M133" i="33"/>
  <c r="N133" i="33"/>
  <c r="M136" i="33"/>
  <c r="N136" i="33"/>
  <c r="K154" i="33"/>
  <c r="N154" i="33"/>
  <c r="K158" i="33"/>
  <c r="N158" i="33"/>
  <c r="K162" i="33"/>
  <c r="N162" i="33"/>
  <c r="K166" i="33"/>
  <c r="N166" i="33"/>
  <c r="K170" i="33"/>
  <c r="N170" i="33"/>
  <c r="K174" i="33"/>
  <c r="N174" i="33"/>
  <c r="K178" i="33"/>
  <c r="N178" i="33"/>
  <c r="K182" i="33"/>
  <c r="N182" i="33"/>
  <c r="K4" i="33"/>
  <c r="N4" i="33"/>
  <c r="K15" i="33"/>
  <c r="N15" i="33"/>
  <c r="K27" i="33"/>
  <c r="N27" i="33"/>
  <c r="K43" i="33"/>
  <c r="N43" i="33"/>
  <c r="M53" i="33"/>
  <c r="N53" i="33"/>
  <c r="M65" i="33"/>
  <c r="N65" i="33"/>
  <c r="M112" i="33"/>
  <c r="N112" i="33"/>
  <c r="M120" i="33"/>
  <c r="N120" i="33"/>
  <c r="M128" i="33"/>
  <c r="N128" i="33"/>
  <c r="K138" i="33"/>
  <c r="N138" i="33"/>
  <c r="K150" i="33"/>
  <c r="N150" i="33"/>
  <c r="K165" i="33"/>
  <c r="N165" i="33"/>
  <c r="K181" i="33"/>
  <c r="N181" i="33"/>
  <c r="M9" i="33"/>
  <c r="N9" i="33"/>
  <c r="M43" i="33"/>
  <c r="K58" i="33"/>
  <c r="N58" i="33"/>
  <c r="M2" i="33"/>
  <c r="N2" i="33"/>
  <c r="M6" i="33"/>
  <c r="N6" i="33"/>
  <c r="M10" i="33"/>
  <c r="N10" i="33"/>
  <c r="M13" i="33"/>
  <c r="N13" i="33"/>
  <c r="M17" i="33"/>
  <c r="N17" i="33"/>
  <c r="M21" i="33"/>
  <c r="N21" i="33"/>
  <c r="M25" i="33"/>
  <c r="N25" i="33"/>
  <c r="M29" i="33"/>
  <c r="N29" i="33"/>
  <c r="M33" i="33"/>
  <c r="N33" i="33"/>
  <c r="M37" i="33"/>
  <c r="N37" i="33"/>
  <c r="M41" i="33"/>
  <c r="N41" i="33"/>
  <c r="M51" i="33"/>
  <c r="N51" i="33"/>
  <c r="M55" i="33"/>
  <c r="N55" i="33"/>
  <c r="K59" i="33"/>
  <c r="N59" i="33"/>
  <c r="K63" i="33"/>
  <c r="N63" i="33"/>
  <c r="K67" i="33"/>
  <c r="N67" i="33"/>
  <c r="K70" i="33"/>
  <c r="M74" i="33"/>
  <c r="N74" i="33"/>
  <c r="M78" i="33"/>
  <c r="N78" i="33"/>
  <c r="M82" i="33"/>
  <c r="N82" i="33"/>
  <c r="M86" i="33"/>
  <c r="N86" i="33"/>
  <c r="M90" i="33"/>
  <c r="N90" i="33"/>
  <c r="M94" i="33"/>
  <c r="N94" i="33"/>
  <c r="M98" i="33"/>
  <c r="N98" i="33"/>
  <c r="M102" i="33"/>
  <c r="N102" i="33"/>
  <c r="K106" i="33"/>
  <c r="N106" i="33"/>
  <c r="K110" i="33"/>
  <c r="N110" i="33"/>
  <c r="K114" i="33"/>
  <c r="N114" i="33"/>
  <c r="K118" i="33"/>
  <c r="N118" i="33"/>
  <c r="K122" i="33"/>
  <c r="N122" i="33"/>
  <c r="K126" i="33"/>
  <c r="N126" i="33"/>
  <c r="K130" i="33"/>
  <c r="N130" i="33"/>
  <c r="K134" i="33"/>
  <c r="N134" i="33"/>
  <c r="M137" i="33"/>
  <c r="N137" i="33"/>
  <c r="M140" i="33"/>
  <c r="N140" i="33"/>
  <c r="M144" i="33"/>
  <c r="N144" i="33"/>
  <c r="M148" i="33"/>
  <c r="N148" i="33"/>
  <c r="K8" i="33"/>
  <c r="N8" i="33"/>
  <c r="K19" i="33"/>
  <c r="N19" i="33"/>
  <c r="K31" i="33"/>
  <c r="N31" i="33"/>
  <c r="K39" i="33"/>
  <c r="N39" i="33"/>
  <c r="K50" i="33"/>
  <c r="N50" i="33"/>
  <c r="M61" i="33"/>
  <c r="N61" i="33"/>
  <c r="M69" i="33"/>
  <c r="N69" i="33"/>
  <c r="M108" i="33"/>
  <c r="N108" i="33"/>
  <c r="M124" i="33"/>
  <c r="N124" i="33"/>
  <c r="K146" i="33"/>
  <c r="N146" i="33"/>
  <c r="M157" i="33"/>
  <c r="N157" i="33"/>
  <c r="M177" i="33"/>
  <c r="N177" i="33"/>
  <c r="M5" i="33"/>
  <c r="N5" i="33"/>
  <c r="M3" i="33"/>
  <c r="N3" i="33"/>
  <c r="M7" i="33"/>
  <c r="N7" i="33"/>
  <c r="K18" i="33"/>
  <c r="N18" i="33"/>
  <c r="M22" i="33"/>
  <c r="N22" i="33"/>
  <c r="M26" i="33"/>
  <c r="N26" i="33"/>
  <c r="M30" i="33"/>
  <c r="N30" i="33"/>
  <c r="K34" i="33"/>
  <c r="N34" i="33"/>
  <c r="M38" i="33"/>
  <c r="N38" i="33"/>
  <c r="M42" i="33"/>
  <c r="N42" i="33"/>
  <c r="M45" i="33"/>
  <c r="N45" i="33"/>
  <c r="M49" i="33"/>
  <c r="N49" i="33"/>
  <c r="K71" i="33"/>
  <c r="N71" i="33"/>
  <c r="K75" i="33"/>
  <c r="N75" i="33"/>
  <c r="K79" i="33"/>
  <c r="N79" i="33"/>
  <c r="K83" i="33"/>
  <c r="N83" i="33"/>
  <c r="K87" i="33"/>
  <c r="N87" i="33"/>
  <c r="K91" i="33"/>
  <c r="N91" i="33"/>
  <c r="K95" i="33"/>
  <c r="N95" i="33"/>
  <c r="K99" i="33"/>
  <c r="N99" i="33"/>
  <c r="K103" i="33"/>
  <c r="N103" i="33"/>
  <c r="M141" i="33"/>
  <c r="N141" i="33"/>
  <c r="M145" i="33"/>
  <c r="N145" i="33"/>
  <c r="M149" i="33"/>
  <c r="N149" i="33"/>
  <c r="M152" i="33"/>
  <c r="N152" i="33"/>
  <c r="M156" i="33"/>
  <c r="N156" i="33"/>
  <c r="M160" i="33"/>
  <c r="N160" i="33"/>
  <c r="M164" i="33"/>
  <c r="N164" i="33"/>
  <c r="M168" i="33"/>
  <c r="N168" i="33"/>
  <c r="M172" i="33"/>
  <c r="N172" i="33"/>
  <c r="M176" i="33"/>
  <c r="N176" i="33"/>
  <c r="M180" i="33"/>
  <c r="N180" i="33"/>
  <c r="M14" i="33"/>
  <c r="N14" i="33"/>
  <c r="M58" i="33"/>
  <c r="K61" i="33"/>
  <c r="M19" i="33"/>
  <c r="K22" i="33"/>
  <c r="K153" i="33"/>
  <c r="M118" i="33"/>
  <c r="K121" i="33"/>
  <c r="K55" i="33"/>
  <c r="K3" i="33"/>
  <c r="K6" i="33"/>
  <c r="K11" i="33"/>
  <c r="K14" i="33"/>
  <c r="M35" i="33"/>
  <c r="K38" i="33"/>
  <c r="M110" i="33"/>
  <c r="K113" i="33"/>
  <c r="M18" i="33"/>
  <c r="M27" i="33"/>
  <c r="K30" i="33"/>
  <c r="K51" i="33"/>
  <c r="M54" i="33"/>
  <c r="K62" i="33"/>
  <c r="K69" i="33"/>
  <c r="M161" i="33"/>
  <c r="K7" i="33"/>
  <c r="M34" i="33"/>
  <c r="K46" i="33"/>
  <c r="K57" i="33"/>
  <c r="K66" i="33"/>
  <c r="K73" i="33"/>
  <c r="K78" i="33"/>
  <c r="K81" i="33"/>
  <c r="K86" i="33"/>
  <c r="K89" i="33"/>
  <c r="K94" i="33"/>
  <c r="K97" i="33"/>
  <c r="K102" i="33"/>
  <c r="K105" i="33"/>
  <c r="K117" i="33"/>
  <c r="M130" i="33"/>
  <c r="K133" i="33"/>
  <c r="M146" i="33"/>
  <c r="K149" i="33"/>
  <c r="M165" i="33"/>
  <c r="M174" i="33"/>
  <c r="K177" i="33"/>
  <c r="M181" i="33"/>
  <c r="K2" i="33"/>
  <c r="K65" i="33"/>
  <c r="K74" i="33"/>
  <c r="K77" i="33"/>
  <c r="K82" i="33"/>
  <c r="K85" i="33"/>
  <c r="K90" i="33"/>
  <c r="K93" i="33"/>
  <c r="K98" i="33"/>
  <c r="K101" i="33"/>
  <c r="M126" i="33"/>
  <c r="K129" i="33"/>
  <c r="M142" i="33"/>
  <c r="K145" i="33"/>
  <c r="M158" i="33"/>
  <c r="M166" i="33"/>
  <c r="K169" i="33"/>
  <c r="M4" i="33"/>
  <c r="M8" i="33"/>
  <c r="M12" i="33"/>
  <c r="M23" i="33"/>
  <c r="K26" i="33"/>
  <c r="M39" i="33"/>
  <c r="K42" i="33"/>
  <c r="M106" i="33"/>
  <c r="K109" i="33"/>
  <c r="M122" i="33"/>
  <c r="K125" i="33"/>
  <c r="M138" i="33"/>
  <c r="K141" i="33"/>
  <c r="M154" i="33"/>
  <c r="K157" i="33"/>
  <c r="M170" i="33"/>
  <c r="K173" i="33"/>
  <c r="M182" i="33"/>
  <c r="M15" i="33"/>
  <c r="M31" i="33"/>
  <c r="M47" i="33"/>
  <c r="M59" i="33"/>
  <c r="M63" i="33"/>
  <c r="M67" i="33"/>
  <c r="M71" i="33"/>
  <c r="M75" i="33"/>
  <c r="M79" i="33"/>
  <c r="M83" i="33"/>
  <c r="M87" i="33"/>
  <c r="M91" i="33"/>
  <c r="M95" i="33"/>
  <c r="M99" i="33"/>
  <c r="M103" i="33"/>
  <c r="M114" i="33"/>
  <c r="M162" i="33"/>
  <c r="M178" i="33"/>
  <c r="M52" i="33"/>
  <c r="K52" i="33"/>
  <c r="K5" i="33"/>
  <c r="K9" i="33"/>
  <c r="K13" i="33"/>
  <c r="K17" i="33"/>
  <c r="K21" i="33"/>
  <c r="K25" i="33"/>
  <c r="K29" i="33"/>
  <c r="K33" i="33"/>
  <c r="K37" i="33"/>
  <c r="K41" i="33"/>
  <c r="K45" i="33"/>
  <c r="K49" i="33"/>
  <c r="M56" i="33"/>
  <c r="K56" i="33"/>
  <c r="M60" i="33"/>
  <c r="K60" i="33"/>
  <c r="M64" i="33"/>
  <c r="K64" i="33"/>
  <c r="M68" i="33"/>
  <c r="K68" i="33"/>
  <c r="M72" i="33"/>
  <c r="K72" i="33"/>
  <c r="M76" i="33"/>
  <c r="K76" i="33"/>
  <c r="M80" i="33"/>
  <c r="K80" i="33"/>
  <c r="M84" i="33"/>
  <c r="K84" i="33"/>
  <c r="M88" i="33"/>
  <c r="K88" i="33"/>
  <c r="M92" i="33"/>
  <c r="K92" i="33"/>
  <c r="M96" i="33"/>
  <c r="K96" i="33"/>
  <c r="M100" i="33"/>
  <c r="K100" i="33"/>
  <c r="K108" i="33"/>
  <c r="K112" i="33"/>
  <c r="K116" i="33"/>
  <c r="K120" i="33"/>
  <c r="K124" i="33"/>
  <c r="K128" i="33"/>
  <c r="K132" i="33"/>
  <c r="K136" i="33"/>
  <c r="K140" i="33"/>
  <c r="K144" i="33"/>
  <c r="K148" i="33"/>
  <c r="K152" i="33"/>
  <c r="K156" i="33"/>
  <c r="K160" i="33"/>
  <c r="K164" i="33"/>
  <c r="K168" i="33"/>
  <c r="K172" i="33"/>
  <c r="K176" i="33"/>
  <c r="K180" i="33"/>
  <c r="K53" i="33"/>
  <c r="M16" i="33"/>
  <c r="K16" i="33"/>
  <c r="M20" i="33"/>
  <c r="K20" i="33"/>
  <c r="M24" i="33"/>
  <c r="K24" i="33"/>
  <c r="M28" i="33"/>
  <c r="K28" i="33"/>
  <c r="M32" i="33"/>
  <c r="K32" i="33"/>
  <c r="M36" i="33"/>
  <c r="K36" i="33"/>
  <c r="M40" i="33"/>
  <c r="K40" i="33"/>
  <c r="M44" i="33"/>
  <c r="K44" i="33"/>
  <c r="M48" i="33"/>
  <c r="K48" i="33"/>
  <c r="M107" i="33"/>
  <c r="K107" i="33"/>
  <c r="M111" i="33"/>
  <c r="K111" i="33"/>
  <c r="M115" i="33"/>
  <c r="K115" i="33"/>
  <c r="M119" i="33"/>
  <c r="K119" i="33"/>
  <c r="M123" i="33"/>
  <c r="K123" i="33"/>
  <c r="M127" i="33"/>
  <c r="K127" i="33"/>
  <c r="M131" i="33"/>
  <c r="K131" i="33"/>
  <c r="M135" i="33"/>
  <c r="K135" i="33"/>
  <c r="M139" i="33"/>
  <c r="K139" i="33"/>
  <c r="M143" i="33"/>
  <c r="K143" i="33"/>
  <c r="M147" i="33"/>
  <c r="K147" i="33"/>
  <c r="M151" i="33"/>
  <c r="K151" i="33"/>
  <c r="M155" i="33"/>
  <c r="K155" i="33"/>
  <c r="M159" i="33"/>
  <c r="K159" i="33"/>
  <c r="M163" i="33"/>
  <c r="K163" i="33"/>
  <c r="M167" i="33"/>
  <c r="K167" i="33"/>
  <c r="M171" i="33"/>
  <c r="K171" i="33"/>
  <c r="M175" i="33"/>
  <c r="K175" i="33"/>
  <c r="M179" i="33"/>
  <c r="K179" i="33"/>
  <c r="M183" i="33"/>
  <c r="K183" i="33"/>
  <c r="H183" i="32"/>
  <c r="L183" i="32" s="1"/>
  <c r="H182" i="32"/>
  <c r="J182" i="32" s="1"/>
  <c r="H181" i="32"/>
  <c r="L181" i="32" s="1"/>
  <c r="H180" i="32"/>
  <c r="H179" i="32"/>
  <c r="L179" i="32" s="1"/>
  <c r="H178" i="32"/>
  <c r="J178" i="32" s="1"/>
  <c r="H177" i="32"/>
  <c r="L177" i="32" s="1"/>
  <c r="H176" i="32"/>
  <c r="H175" i="32"/>
  <c r="L175" i="32" s="1"/>
  <c r="H174" i="32"/>
  <c r="L174" i="32" s="1"/>
  <c r="H173" i="32"/>
  <c r="L173" i="32" s="1"/>
  <c r="H172" i="32"/>
  <c r="H171" i="32"/>
  <c r="J171" i="32" s="1"/>
  <c r="H170" i="32"/>
  <c r="J170" i="32" s="1"/>
  <c r="H169" i="32"/>
  <c r="L169" i="32" s="1"/>
  <c r="H168" i="32"/>
  <c r="H167" i="32"/>
  <c r="J167" i="32" s="1"/>
  <c r="H166" i="32"/>
  <c r="J166" i="32" s="1"/>
  <c r="H165" i="32"/>
  <c r="L165" i="32" s="1"/>
  <c r="H164" i="32"/>
  <c r="H163" i="32"/>
  <c r="J163" i="32" s="1"/>
  <c r="H162" i="32"/>
  <c r="L162" i="32" s="1"/>
  <c r="H161" i="32"/>
  <c r="L161" i="32" s="1"/>
  <c r="H160" i="32"/>
  <c r="H159" i="32"/>
  <c r="J159" i="32" s="1"/>
  <c r="H158" i="32"/>
  <c r="J158" i="32" s="1"/>
  <c r="H157" i="32"/>
  <c r="L157" i="32" s="1"/>
  <c r="H156" i="32"/>
  <c r="H155" i="32"/>
  <c r="J155" i="32" s="1"/>
  <c r="H154" i="32"/>
  <c r="L154" i="32" s="1"/>
  <c r="H153" i="32"/>
  <c r="L153" i="32" s="1"/>
  <c r="H152" i="32"/>
  <c r="H151" i="32"/>
  <c r="J151" i="32" s="1"/>
  <c r="H150" i="32"/>
  <c r="J150" i="32" s="1"/>
  <c r="H149" i="32"/>
  <c r="L149" i="32" s="1"/>
  <c r="H148" i="32"/>
  <c r="H147" i="32"/>
  <c r="J147" i="32" s="1"/>
  <c r="H146" i="32"/>
  <c r="J146" i="32" s="1"/>
  <c r="H145" i="32"/>
  <c r="L145" i="32" s="1"/>
  <c r="H144" i="32"/>
  <c r="H143" i="32"/>
  <c r="J143" i="32" s="1"/>
  <c r="H142" i="32"/>
  <c r="L142" i="32" s="1"/>
  <c r="H141" i="32"/>
  <c r="L141" i="32" s="1"/>
  <c r="H140" i="32"/>
  <c r="H139" i="32"/>
  <c r="J139" i="32" s="1"/>
  <c r="H138" i="32"/>
  <c r="J138" i="32" s="1"/>
  <c r="H137" i="32"/>
  <c r="L137" i="32" s="1"/>
  <c r="H136" i="32"/>
  <c r="H135" i="32"/>
  <c r="J135" i="32" s="1"/>
  <c r="H134" i="32"/>
  <c r="J134" i="32" s="1"/>
  <c r="H133" i="32"/>
  <c r="L133" i="32" s="1"/>
  <c r="H132" i="32"/>
  <c r="H131" i="32"/>
  <c r="J131" i="32" s="1"/>
  <c r="H130" i="32"/>
  <c r="L130" i="32" s="1"/>
  <c r="H129" i="32"/>
  <c r="L129" i="32" s="1"/>
  <c r="H128" i="32"/>
  <c r="H127" i="32"/>
  <c r="J127" i="32" s="1"/>
  <c r="H126" i="32"/>
  <c r="J126" i="32" s="1"/>
  <c r="H125" i="32"/>
  <c r="L125" i="32" s="1"/>
  <c r="H124" i="32"/>
  <c r="H123" i="32"/>
  <c r="J123" i="32" s="1"/>
  <c r="H122" i="32"/>
  <c r="L122" i="32" s="1"/>
  <c r="H121" i="32"/>
  <c r="L121" i="32" s="1"/>
  <c r="H120" i="32"/>
  <c r="H119" i="32"/>
  <c r="J119" i="32" s="1"/>
  <c r="H118" i="32"/>
  <c r="L118" i="32" s="1"/>
  <c r="H117" i="32"/>
  <c r="L117" i="32" s="1"/>
  <c r="H116" i="32"/>
  <c r="H115" i="32"/>
  <c r="J115" i="32" s="1"/>
  <c r="H114" i="32"/>
  <c r="J114" i="32" s="1"/>
  <c r="H113" i="32"/>
  <c r="L113" i="32" s="1"/>
  <c r="H112" i="32"/>
  <c r="H111" i="32"/>
  <c r="J111" i="32" s="1"/>
  <c r="H110" i="32"/>
  <c r="L110" i="32" s="1"/>
  <c r="H109" i="32"/>
  <c r="L109" i="32" s="1"/>
  <c r="H108" i="32"/>
  <c r="H107" i="32"/>
  <c r="J107" i="32" s="1"/>
  <c r="H106" i="32"/>
  <c r="J106" i="32" s="1"/>
  <c r="H105" i="32"/>
  <c r="L105" i="32" s="1"/>
  <c r="H104" i="32"/>
  <c r="L104" i="32" s="1"/>
  <c r="H103" i="32"/>
  <c r="J103" i="32" s="1"/>
  <c r="H102" i="32"/>
  <c r="L102" i="32" s="1"/>
  <c r="H101" i="32"/>
  <c r="H100" i="32"/>
  <c r="J100" i="32" s="1"/>
  <c r="H99" i="32"/>
  <c r="J99" i="32" s="1"/>
  <c r="H98" i="32"/>
  <c r="L98" i="32" s="1"/>
  <c r="H97" i="32"/>
  <c r="H96" i="32"/>
  <c r="J96" i="32" s="1"/>
  <c r="H95" i="32"/>
  <c r="J95" i="32" s="1"/>
  <c r="H94" i="32"/>
  <c r="L94" i="32" s="1"/>
  <c r="H93" i="32"/>
  <c r="H92" i="32"/>
  <c r="J92" i="32" s="1"/>
  <c r="H91" i="32"/>
  <c r="J91" i="32" s="1"/>
  <c r="H90" i="32"/>
  <c r="L90" i="32" s="1"/>
  <c r="H89" i="32"/>
  <c r="H88" i="32"/>
  <c r="J88" i="32" s="1"/>
  <c r="H87" i="32"/>
  <c r="J87" i="32" s="1"/>
  <c r="H86" i="32"/>
  <c r="L86" i="32" s="1"/>
  <c r="H85" i="32"/>
  <c r="H84" i="32"/>
  <c r="J84" i="32" s="1"/>
  <c r="H83" i="32"/>
  <c r="L83" i="32" s="1"/>
  <c r="H82" i="32"/>
  <c r="L82" i="32" s="1"/>
  <c r="H81" i="32"/>
  <c r="H80" i="32"/>
  <c r="J80" i="32" s="1"/>
  <c r="H79" i="32"/>
  <c r="J79" i="32" s="1"/>
  <c r="H78" i="32"/>
  <c r="L78" i="32" s="1"/>
  <c r="H77" i="32"/>
  <c r="H76" i="32"/>
  <c r="J76" i="32" s="1"/>
  <c r="H75" i="32"/>
  <c r="J75" i="32" s="1"/>
  <c r="H74" i="32"/>
  <c r="L74" i="32" s="1"/>
  <c r="H73" i="32"/>
  <c r="H72" i="32"/>
  <c r="J72" i="32" s="1"/>
  <c r="H71" i="32"/>
  <c r="J71" i="32" s="1"/>
  <c r="H70" i="32"/>
  <c r="L70" i="32" s="1"/>
  <c r="H69" i="32"/>
  <c r="H68" i="32"/>
  <c r="J68" i="32" s="1"/>
  <c r="H67" i="32"/>
  <c r="J67" i="32" s="1"/>
  <c r="H66" i="32"/>
  <c r="L66" i="32" s="1"/>
  <c r="H65" i="32"/>
  <c r="H64" i="32"/>
  <c r="J64" i="32" s="1"/>
  <c r="H63" i="32"/>
  <c r="J63" i="32" s="1"/>
  <c r="H62" i="32"/>
  <c r="L62" i="32" s="1"/>
  <c r="H61" i="32"/>
  <c r="H60" i="32"/>
  <c r="J60" i="32" s="1"/>
  <c r="H59" i="32"/>
  <c r="J59" i="32" s="1"/>
  <c r="H58" i="32"/>
  <c r="L58" i="32" s="1"/>
  <c r="H57" i="32"/>
  <c r="H56" i="32"/>
  <c r="J56" i="32" s="1"/>
  <c r="H55" i="32"/>
  <c r="J55" i="32" s="1"/>
  <c r="H54" i="32"/>
  <c r="L54" i="32" s="1"/>
  <c r="H53" i="32"/>
  <c r="H52" i="32"/>
  <c r="L52" i="32" s="1"/>
  <c r="H51" i="32"/>
  <c r="L51" i="32" s="1"/>
  <c r="H50" i="32"/>
  <c r="L50" i="32" s="1"/>
  <c r="H49" i="32"/>
  <c r="H48" i="32"/>
  <c r="L48" i="32" s="1"/>
  <c r="H47" i="32"/>
  <c r="L47" i="32" s="1"/>
  <c r="H46" i="32"/>
  <c r="L46" i="32" s="1"/>
  <c r="H45" i="32"/>
  <c r="H44" i="32"/>
  <c r="L44" i="32" s="1"/>
  <c r="H43" i="32"/>
  <c r="J43" i="32" s="1"/>
  <c r="H42" i="32"/>
  <c r="L42" i="32" s="1"/>
  <c r="H41" i="32"/>
  <c r="H40" i="32"/>
  <c r="L40" i="32" s="1"/>
  <c r="H39" i="32"/>
  <c r="L39" i="32" s="1"/>
  <c r="H38" i="32"/>
  <c r="L38" i="32" s="1"/>
  <c r="H37" i="32"/>
  <c r="H36" i="32"/>
  <c r="L36" i="32" s="1"/>
  <c r="H35" i="32"/>
  <c r="J35" i="32" s="1"/>
  <c r="H34" i="32"/>
  <c r="L34" i="32" s="1"/>
  <c r="H33" i="32"/>
  <c r="H32" i="32"/>
  <c r="J32" i="32" s="1"/>
  <c r="H31" i="32"/>
  <c r="J31" i="32" s="1"/>
  <c r="H30" i="32"/>
  <c r="L30" i="32" s="1"/>
  <c r="H29" i="32"/>
  <c r="H28" i="32"/>
  <c r="J28" i="32" s="1"/>
  <c r="H27" i="32"/>
  <c r="J27" i="32" s="1"/>
  <c r="H26" i="32"/>
  <c r="L26" i="32" s="1"/>
  <c r="H25" i="32"/>
  <c r="H24" i="32"/>
  <c r="J24" i="32" s="1"/>
  <c r="H23" i="32"/>
  <c r="J23" i="32" s="1"/>
  <c r="H22" i="32"/>
  <c r="L22" i="32" s="1"/>
  <c r="H21" i="32"/>
  <c r="H20" i="32"/>
  <c r="J20" i="32" s="1"/>
  <c r="H19" i="32"/>
  <c r="J19" i="32" s="1"/>
  <c r="H18" i="32"/>
  <c r="L18" i="32" s="1"/>
  <c r="H17" i="32"/>
  <c r="H16" i="32"/>
  <c r="J16" i="32" s="1"/>
  <c r="H15" i="32"/>
  <c r="J15" i="32" s="1"/>
  <c r="H14" i="32"/>
  <c r="L14" i="32" s="1"/>
  <c r="H13" i="32"/>
  <c r="H12" i="32"/>
  <c r="J12" i="32" s="1"/>
  <c r="H11" i="32"/>
  <c r="L11" i="32" s="1"/>
  <c r="H10" i="32"/>
  <c r="J10" i="32" s="1"/>
  <c r="H9" i="32"/>
  <c r="L9" i="32" s="1"/>
  <c r="H8" i="32"/>
  <c r="L8" i="32" s="1"/>
  <c r="H7" i="32"/>
  <c r="J7" i="32" s="1"/>
  <c r="H6" i="32"/>
  <c r="L6" i="32" s="1"/>
  <c r="H5" i="32"/>
  <c r="L5" i="32" s="1"/>
  <c r="H4" i="32"/>
  <c r="L4" i="32" s="1"/>
  <c r="H3" i="32"/>
  <c r="L3" i="32" s="1"/>
  <c r="H2" i="32"/>
  <c r="J2" i="32" s="1"/>
  <c r="N184" i="33" l="1"/>
  <c r="L23" i="32"/>
  <c r="L107" i="32"/>
  <c r="J46" i="32"/>
  <c r="L123" i="32"/>
  <c r="J44" i="32"/>
  <c r="L143" i="32"/>
  <c r="J83" i="32"/>
  <c r="L159" i="32"/>
  <c r="J6" i="32"/>
  <c r="L35" i="32"/>
  <c r="L59" i="32"/>
  <c r="L87" i="32"/>
  <c r="L111" i="32"/>
  <c r="L127" i="32"/>
  <c r="L147" i="32"/>
  <c r="L163" i="32"/>
  <c r="L43" i="32"/>
  <c r="L67" i="32"/>
  <c r="L95" i="32"/>
  <c r="L115" i="32"/>
  <c r="L135" i="32"/>
  <c r="L151" i="32"/>
  <c r="L167" i="32"/>
  <c r="J11" i="32"/>
  <c r="L75" i="32"/>
  <c r="L103" i="32"/>
  <c r="L119" i="32"/>
  <c r="L139" i="32"/>
  <c r="L155" i="32"/>
  <c r="L171" i="32"/>
  <c r="L27" i="32"/>
  <c r="J39" i="32"/>
  <c r="J48" i="32"/>
  <c r="J50" i="32"/>
  <c r="L63" i="32"/>
  <c r="L79" i="32"/>
  <c r="L91" i="32"/>
  <c r="J109" i="32"/>
  <c r="J117" i="32"/>
  <c r="J125" i="32"/>
  <c r="L131" i="32"/>
  <c r="J137" i="32"/>
  <c r="J145" i="32"/>
  <c r="J153" i="32"/>
  <c r="J161" i="32"/>
  <c r="J169" i="32"/>
  <c r="L178" i="32"/>
  <c r="J181" i="32"/>
  <c r="L15" i="32"/>
  <c r="L31" i="32"/>
  <c r="L2" i="32"/>
  <c r="L7" i="32"/>
  <c r="L19" i="32"/>
  <c r="L55" i="32"/>
  <c r="L71" i="32"/>
  <c r="L99" i="32"/>
  <c r="J105" i="32"/>
  <c r="J113" i="32"/>
  <c r="J121" i="32"/>
  <c r="J141" i="32"/>
  <c r="J149" i="32"/>
  <c r="J157" i="32"/>
  <c r="J165" i="32"/>
  <c r="J173" i="32"/>
  <c r="J22" i="32"/>
  <c r="J26" i="32"/>
  <c r="J47" i="32"/>
  <c r="J52" i="32"/>
  <c r="J54" i="32"/>
  <c r="J58" i="32"/>
  <c r="J70" i="32"/>
  <c r="J78" i="32"/>
  <c r="J82" i="32"/>
  <c r="J90" i="32"/>
  <c r="J98" i="32"/>
  <c r="J110" i="32"/>
  <c r="J118" i="32"/>
  <c r="J122" i="32"/>
  <c r="J130" i="32"/>
  <c r="J142" i="32"/>
  <c r="J154" i="32"/>
  <c r="J162" i="32"/>
  <c r="J174" i="32"/>
  <c r="J3" i="32"/>
  <c r="J5" i="32"/>
  <c r="L10" i="32"/>
  <c r="L16" i="32"/>
  <c r="L20" i="32"/>
  <c r="L24" i="32"/>
  <c r="L28" i="32"/>
  <c r="L32" i="32"/>
  <c r="J36" i="32"/>
  <c r="J40" i="32"/>
  <c r="J42" i="32"/>
  <c r="J51" i="32"/>
  <c r="L56" i="32"/>
  <c r="L60" i="32"/>
  <c r="L64" i="32"/>
  <c r="L68" i="32"/>
  <c r="L72" i="32"/>
  <c r="L76" i="32"/>
  <c r="L80" i="32"/>
  <c r="L84" i="32"/>
  <c r="L88" i="32"/>
  <c r="L92" i="32"/>
  <c r="L96" i="32"/>
  <c r="L100" i="32"/>
  <c r="L106" i="32"/>
  <c r="L114" i="32"/>
  <c r="L126" i="32"/>
  <c r="L134" i="32"/>
  <c r="L138" i="32"/>
  <c r="L146" i="32"/>
  <c r="L150" i="32"/>
  <c r="L158" i="32"/>
  <c r="L166" i="32"/>
  <c r="L170" i="32"/>
  <c r="J177" i="32"/>
  <c r="L182" i="32"/>
  <c r="J14" i="32"/>
  <c r="J18" i="32"/>
  <c r="J30" i="32"/>
  <c r="J34" i="32"/>
  <c r="J62" i="32"/>
  <c r="J66" i="32"/>
  <c r="J74" i="32"/>
  <c r="J86" i="32"/>
  <c r="J94" i="32"/>
  <c r="J102" i="32"/>
  <c r="J9" i="32"/>
  <c r="J129" i="32"/>
  <c r="J133" i="32"/>
  <c r="L41" i="32"/>
  <c r="J41" i="32"/>
  <c r="L176" i="32"/>
  <c r="J176" i="32"/>
  <c r="J4" i="32"/>
  <c r="J8" i="32"/>
  <c r="L12" i="32"/>
  <c r="J38" i="32"/>
  <c r="L45" i="32"/>
  <c r="J45" i="32"/>
  <c r="L108" i="32"/>
  <c r="J108" i="32"/>
  <c r="L112" i="32"/>
  <c r="J112" i="32"/>
  <c r="L116" i="32"/>
  <c r="J116" i="32"/>
  <c r="L120" i="32"/>
  <c r="J120" i="32"/>
  <c r="L124" i="32"/>
  <c r="J124" i="32"/>
  <c r="L128" i="32"/>
  <c r="J128" i="32"/>
  <c r="L132" i="32"/>
  <c r="J132" i="32"/>
  <c r="L136" i="32"/>
  <c r="J136" i="32"/>
  <c r="L140" i="32"/>
  <c r="J140" i="32"/>
  <c r="L144" i="32"/>
  <c r="J144" i="32"/>
  <c r="L148" i="32"/>
  <c r="J148" i="32"/>
  <c r="L152" i="32"/>
  <c r="J152" i="32"/>
  <c r="L156" i="32"/>
  <c r="J156" i="32"/>
  <c r="L160" i="32"/>
  <c r="J160" i="32"/>
  <c r="L164" i="32"/>
  <c r="J164" i="32"/>
  <c r="L168" i="32"/>
  <c r="J168" i="32"/>
  <c r="L172" i="32"/>
  <c r="J172" i="32"/>
  <c r="L13" i="32"/>
  <c r="J13" i="32"/>
  <c r="L17" i="32"/>
  <c r="J17" i="32"/>
  <c r="L21" i="32"/>
  <c r="J21" i="32"/>
  <c r="L25" i="32"/>
  <c r="J25" i="32"/>
  <c r="L29" i="32"/>
  <c r="J29" i="32"/>
  <c r="L33" i="32"/>
  <c r="J33" i="32"/>
  <c r="L49" i="32"/>
  <c r="J49" i="32"/>
  <c r="L180" i="32"/>
  <c r="J180" i="32"/>
  <c r="L37" i="32"/>
  <c r="J37" i="32"/>
  <c r="L53" i="32"/>
  <c r="J53" i="32"/>
  <c r="L57" i="32"/>
  <c r="J57" i="32"/>
  <c r="L61" i="32"/>
  <c r="J61" i="32"/>
  <c r="L65" i="32"/>
  <c r="J65" i="32"/>
  <c r="L69" i="32"/>
  <c r="J69" i="32"/>
  <c r="L73" i="32"/>
  <c r="J73" i="32"/>
  <c r="L77" i="32"/>
  <c r="J77" i="32"/>
  <c r="L81" i="32"/>
  <c r="J81" i="32"/>
  <c r="L85" i="32"/>
  <c r="J85" i="32"/>
  <c r="L89" i="32"/>
  <c r="J89" i="32"/>
  <c r="L93" i="32"/>
  <c r="J93" i="32"/>
  <c r="L97" i="32"/>
  <c r="J97" i="32"/>
  <c r="L101" i="32"/>
  <c r="J101" i="32"/>
  <c r="J175" i="32"/>
  <c r="J179" i="32"/>
  <c r="J183" i="32"/>
  <c r="I183" i="31"/>
  <c r="N183" i="31" s="1"/>
  <c r="I182" i="31"/>
  <c r="I181" i="31"/>
  <c r="I180" i="31"/>
  <c r="I179" i="31"/>
  <c r="I178" i="31"/>
  <c r="I177" i="31"/>
  <c r="I176" i="31"/>
  <c r="I175" i="31"/>
  <c r="I174" i="31"/>
  <c r="I173" i="31"/>
  <c r="I172" i="31"/>
  <c r="I171" i="31"/>
  <c r="I170" i="31"/>
  <c r="I169" i="31"/>
  <c r="I168" i="31"/>
  <c r="I167" i="31"/>
  <c r="I166" i="31"/>
  <c r="I165" i="31"/>
  <c r="I164" i="31"/>
  <c r="I163" i="31"/>
  <c r="I162" i="31"/>
  <c r="I161" i="31"/>
  <c r="I160" i="31"/>
  <c r="I159" i="31"/>
  <c r="I158" i="31"/>
  <c r="I157" i="31"/>
  <c r="I156" i="31"/>
  <c r="I155" i="31"/>
  <c r="N155" i="31" s="1"/>
  <c r="I154" i="31"/>
  <c r="I153" i="31"/>
  <c r="I152" i="31"/>
  <c r="I151" i="31"/>
  <c r="I150" i="31"/>
  <c r="I149" i="31"/>
  <c r="I148" i="31"/>
  <c r="I147" i="31"/>
  <c r="I146" i="31"/>
  <c r="I145" i="31"/>
  <c r="I144" i="31"/>
  <c r="I143" i="31"/>
  <c r="I142" i="31"/>
  <c r="I141" i="31"/>
  <c r="I140" i="31"/>
  <c r="I139" i="31"/>
  <c r="N139" i="31" s="1"/>
  <c r="I138" i="31"/>
  <c r="I137" i="31"/>
  <c r="I136" i="31"/>
  <c r="I135" i="31"/>
  <c r="I134" i="31"/>
  <c r="I133" i="31"/>
  <c r="I132" i="31"/>
  <c r="I131" i="31"/>
  <c r="I130" i="31"/>
  <c r="I129" i="31"/>
  <c r="I128" i="31"/>
  <c r="I127" i="31"/>
  <c r="I126" i="31"/>
  <c r="I125" i="31"/>
  <c r="I124" i="31"/>
  <c r="I123" i="31"/>
  <c r="N123" i="31" s="1"/>
  <c r="I122" i="31"/>
  <c r="I121" i="31"/>
  <c r="I120" i="31"/>
  <c r="I119" i="31"/>
  <c r="I118" i="31"/>
  <c r="I117" i="31"/>
  <c r="I116" i="31"/>
  <c r="I115" i="31"/>
  <c r="I114" i="31"/>
  <c r="I113" i="31"/>
  <c r="I112" i="31"/>
  <c r="I111" i="31"/>
  <c r="I110" i="31"/>
  <c r="I109" i="31"/>
  <c r="I108" i="31"/>
  <c r="I107" i="31"/>
  <c r="N107" i="31" s="1"/>
  <c r="I106" i="31"/>
  <c r="I105" i="31"/>
  <c r="I104" i="31"/>
  <c r="I103" i="31"/>
  <c r="I102" i="31"/>
  <c r="I101" i="31"/>
  <c r="I100" i="31"/>
  <c r="I99" i="31"/>
  <c r="I98" i="31"/>
  <c r="I97" i="31"/>
  <c r="I96" i="31"/>
  <c r="I95" i="31"/>
  <c r="I94" i="31"/>
  <c r="I93" i="31"/>
  <c r="I92" i="31"/>
  <c r="I91" i="31"/>
  <c r="N91" i="31" s="1"/>
  <c r="I90" i="31"/>
  <c r="I89" i="31"/>
  <c r="I88" i="31"/>
  <c r="I87" i="31"/>
  <c r="I86" i="31"/>
  <c r="I85" i="31"/>
  <c r="I84" i="31"/>
  <c r="I83" i="31"/>
  <c r="N83" i="31" s="1"/>
  <c r="I82" i="31"/>
  <c r="I81" i="31"/>
  <c r="I80" i="31"/>
  <c r="I79" i="31"/>
  <c r="I78" i="31"/>
  <c r="I77" i="31"/>
  <c r="K76" i="31"/>
  <c r="I76" i="31"/>
  <c r="I75" i="31"/>
  <c r="N75" i="31" s="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N59" i="31" s="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N42" i="31" s="1"/>
  <c r="I41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N26" i="31" s="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N11" i="31" s="1"/>
  <c r="I10" i="31"/>
  <c r="I9" i="31"/>
  <c r="I8" i="31"/>
  <c r="I7" i="31"/>
  <c r="I6" i="31"/>
  <c r="I5" i="31"/>
  <c r="I4" i="31"/>
  <c r="I3" i="31"/>
  <c r="N3" i="31" s="1"/>
  <c r="I2" i="31"/>
  <c r="M4" i="31" l="1"/>
  <c r="N4" i="31"/>
  <c r="M12" i="31"/>
  <c r="N12" i="31"/>
  <c r="M28" i="31"/>
  <c r="N28" i="31"/>
  <c r="M36" i="31"/>
  <c r="N36" i="31"/>
  <c r="K9" i="31"/>
  <c r="N9" i="31"/>
  <c r="K21" i="31"/>
  <c r="N21" i="31"/>
  <c r="K25" i="31"/>
  <c r="N25" i="31"/>
  <c r="K33" i="31"/>
  <c r="N33" i="31"/>
  <c r="K41" i="31"/>
  <c r="N41" i="31"/>
  <c r="K49" i="31"/>
  <c r="N49" i="31"/>
  <c r="K57" i="31"/>
  <c r="N57" i="31"/>
  <c r="K65" i="31"/>
  <c r="N65" i="31"/>
  <c r="M84" i="31"/>
  <c r="N84" i="31"/>
  <c r="M92" i="31"/>
  <c r="N92" i="31"/>
  <c r="M7" i="31"/>
  <c r="N7" i="31"/>
  <c r="M15" i="31"/>
  <c r="N15" i="31"/>
  <c r="M19" i="31"/>
  <c r="N19" i="31"/>
  <c r="M23" i="31"/>
  <c r="N23" i="31"/>
  <c r="M27" i="31"/>
  <c r="N27" i="31"/>
  <c r="M31" i="31"/>
  <c r="N31" i="31"/>
  <c r="M35" i="31"/>
  <c r="N35" i="31"/>
  <c r="M39" i="31"/>
  <c r="N39" i="31"/>
  <c r="M43" i="31"/>
  <c r="N43" i="31"/>
  <c r="M47" i="31"/>
  <c r="N47" i="31"/>
  <c r="M51" i="31"/>
  <c r="N51" i="31"/>
  <c r="M55" i="31"/>
  <c r="N55" i="31"/>
  <c r="M63" i="31"/>
  <c r="N63" i="31"/>
  <c r="K67" i="31"/>
  <c r="N67" i="31"/>
  <c r="M71" i="31"/>
  <c r="N71" i="31"/>
  <c r="M78" i="31"/>
  <c r="N78" i="31"/>
  <c r="M82" i="31"/>
  <c r="N82" i="31"/>
  <c r="M86" i="31"/>
  <c r="N86" i="31"/>
  <c r="M90" i="31"/>
  <c r="N90" i="31"/>
  <c r="M94" i="31"/>
  <c r="N94" i="31"/>
  <c r="M98" i="31"/>
  <c r="N98" i="31"/>
  <c r="M102" i="31"/>
  <c r="N102" i="31"/>
  <c r="M106" i="31"/>
  <c r="N106" i="31"/>
  <c r="M110" i="31"/>
  <c r="N110" i="31"/>
  <c r="M114" i="31"/>
  <c r="N114" i="31"/>
  <c r="M118" i="31"/>
  <c r="N118" i="31"/>
  <c r="M122" i="31"/>
  <c r="N122" i="31"/>
  <c r="M126" i="31"/>
  <c r="N126" i="31"/>
  <c r="M130" i="31"/>
  <c r="N130" i="31"/>
  <c r="M134" i="31"/>
  <c r="N134" i="31"/>
  <c r="M138" i="31"/>
  <c r="N138" i="31"/>
  <c r="M142" i="31"/>
  <c r="N142" i="31"/>
  <c r="M146" i="31"/>
  <c r="N146" i="31"/>
  <c r="M150" i="31"/>
  <c r="N150" i="31"/>
  <c r="M154" i="31"/>
  <c r="N154" i="31"/>
  <c r="M158" i="31"/>
  <c r="N158" i="31"/>
  <c r="M162" i="31"/>
  <c r="N162" i="31"/>
  <c r="M166" i="31"/>
  <c r="N166" i="31"/>
  <c r="M170" i="31"/>
  <c r="N170" i="31"/>
  <c r="M174" i="31"/>
  <c r="N174" i="31"/>
  <c r="K178" i="31"/>
  <c r="N178" i="31"/>
  <c r="M182" i="31"/>
  <c r="N182" i="31"/>
  <c r="M155" i="31"/>
  <c r="M91" i="31"/>
  <c r="M42" i="31"/>
  <c r="M20" i="31"/>
  <c r="N20" i="31"/>
  <c r="M40" i="31"/>
  <c r="N40" i="31"/>
  <c r="M44" i="31"/>
  <c r="N44" i="31"/>
  <c r="M48" i="31"/>
  <c r="N48" i="31"/>
  <c r="M52" i="31"/>
  <c r="N52" i="31"/>
  <c r="M56" i="31"/>
  <c r="N56" i="31"/>
  <c r="M60" i="31"/>
  <c r="N60" i="31"/>
  <c r="M64" i="31"/>
  <c r="N64" i="31"/>
  <c r="M68" i="31"/>
  <c r="N68" i="31"/>
  <c r="M72" i="31"/>
  <c r="N72" i="31"/>
  <c r="M76" i="31"/>
  <c r="N76" i="31"/>
  <c r="M79" i="31"/>
  <c r="N79" i="31"/>
  <c r="M87" i="31"/>
  <c r="N87" i="31"/>
  <c r="M95" i="31"/>
  <c r="N95" i="31"/>
  <c r="K99" i="31"/>
  <c r="N99" i="31"/>
  <c r="M103" i="31"/>
  <c r="N103" i="31"/>
  <c r="M111" i="31"/>
  <c r="N111" i="31"/>
  <c r="M115" i="31"/>
  <c r="N115" i="31"/>
  <c r="M119" i="31"/>
  <c r="N119" i="31"/>
  <c r="M127" i="31"/>
  <c r="N127" i="31"/>
  <c r="M131" i="31"/>
  <c r="N131" i="31"/>
  <c r="M135" i="31"/>
  <c r="N135" i="31"/>
  <c r="M143" i="31"/>
  <c r="N143" i="31"/>
  <c r="M147" i="31"/>
  <c r="N147" i="31"/>
  <c r="M151" i="31"/>
  <c r="N151" i="31"/>
  <c r="M159" i="31"/>
  <c r="N159" i="31"/>
  <c r="M163" i="31"/>
  <c r="N163" i="31"/>
  <c r="M167" i="31"/>
  <c r="N167" i="31"/>
  <c r="K171" i="31"/>
  <c r="N171" i="31"/>
  <c r="M175" i="31"/>
  <c r="N175" i="31"/>
  <c r="M179" i="31"/>
  <c r="N179" i="31"/>
  <c r="M139" i="31"/>
  <c r="M83" i="31"/>
  <c r="M26" i="31"/>
  <c r="M96" i="31"/>
  <c r="N96" i="31"/>
  <c r="M100" i="31"/>
  <c r="N100" i="31"/>
  <c r="M104" i="31"/>
  <c r="N104" i="31"/>
  <c r="K108" i="31"/>
  <c r="N108" i="31"/>
  <c r="K112" i="31"/>
  <c r="N112" i="31"/>
  <c r="K116" i="31"/>
  <c r="N116" i="31"/>
  <c r="K120" i="31"/>
  <c r="N120" i="31"/>
  <c r="K124" i="31"/>
  <c r="N124" i="31"/>
  <c r="K128" i="31"/>
  <c r="N128" i="31"/>
  <c r="K132" i="31"/>
  <c r="N132" i="31"/>
  <c r="K136" i="31"/>
  <c r="N136" i="31"/>
  <c r="K140" i="31"/>
  <c r="N140" i="31"/>
  <c r="K144" i="31"/>
  <c r="N144" i="31"/>
  <c r="K148" i="31"/>
  <c r="N148" i="31"/>
  <c r="K152" i="31"/>
  <c r="N152" i="31"/>
  <c r="K156" i="31"/>
  <c r="N156" i="31"/>
  <c r="K160" i="31"/>
  <c r="N160" i="31"/>
  <c r="M164" i="31"/>
  <c r="N164" i="31"/>
  <c r="M168" i="31"/>
  <c r="N168" i="31"/>
  <c r="M172" i="31"/>
  <c r="N172" i="31"/>
  <c r="K176" i="31"/>
  <c r="N176" i="31"/>
  <c r="M180" i="31"/>
  <c r="N180" i="31"/>
  <c r="M183" i="31"/>
  <c r="M123" i="31"/>
  <c r="M75" i="31"/>
  <c r="M11" i="31"/>
  <c r="K8" i="31"/>
  <c r="N8" i="31"/>
  <c r="K16" i="31"/>
  <c r="N16" i="31"/>
  <c r="M24" i="31"/>
  <c r="N24" i="31"/>
  <c r="M32" i="31"/>
  <c r="N32" i="31"/>
  <c r="K5" i="31"/>
  <c r="N5" i="31"/>
  <c r="K13" i="31"/>
  <c r="N13" i="31"/>
  <c r="K17" i="31"/>
  <c r="N17" i="31"/>
  <c r="K29" i="31"/>
  <c r="N29" i="31"/>
  <c r="K37" i="31"/>
  <c r="N37" i="31"/>
  <c r="K45" i="31"/>
  <c r="N45" i="31"/>
  <c r="K53" i="31"/>
  <c r="N53" i="31"/>
  <c r="K61" i="31"/>
  <c r="N61" i="31"/>
  <c r="K69" i="31"/>
  <c r="N69" i="31"/>
  <c r="K73" i="31"/>
  <c r="N73" i="31"/>
  <c r="M80" i="31"/>
  <c r="N80" i="31"/>
  <c r="M88" i="31"/>
  <c r="N88" i="31"/>
  <c r="M2" i="31"/>
  <c r="N2" i="31"/>
  <c r="M6" i="31"/>
  <c r="N6" i="31"/>
  <c r="M10" i="31"/>
  <c r="N10" i="31"/>
  <c r="K14" i="31"/>
  <c r="N14" i="31"/>
  <c r="M18" i="31"/>
  <c r="N18" i="31"/>
  <c r="M22" i="31"/>
  <c r="N22" i="31"/>
  <c r="M30" i="31"/>
  <c r="N30" i="31"/>
  <c r="M34" i="31"/>
  <c r="N34" i="31"/>
  <c r="M38" i="31"/>
  <c r="N38" i="31"/>
  <c r="M46" i="31"/>
  <c r="N46" i="31"/>
  <c r="M50" i="31"/>
  <c r="N50" i="31"/>
  <c r="M54" i="31"/>
  <c r="N54" i="31"/>
  <c r="M58" i="31"/>
  <c r="N58" i="31"/>
  <c r="M62" i="31"/>
  <c r="N62" i="31"/>
  <c r="M66" i="31"/>
  <c r="N66" i="31"/>
  <c r="M70" i="31"/>
  <c r="N70" i="31"/>
  <c r="M74" i="31"/>
  <c r="N74" i="31"/>
  <c r="K77" i="31"/>
  <c r="N77" i="31"/>
  <c r="K81" i="31"/>
  <c r="N81" i="31"/>
  <c r="K85" i="31"/>
  <c r="N85" i="31"/>
  <c r="K89" i="31"/>
  <c r="N89" i="31"/>
  <c r="K93" i="31"/>
  <c r="N93" i="31"/>
  <c r="K97" i="31"/>
  <c r="N97" i="31"/>
  <c r="K101" i="31"/>
  <c r="N101" i="31"/>
  <c r="M105" i="31"/>
  <c r="N105" i="31"/>
  <c r="M109" i="31"/>
  <c r="N109" i="31"/>
  <c r="M113" i="31"/>
  <c r="N113" i="31"/>
  <c r="M117" i="31"/>
  <c r="N117" i="31"/>
  <c r="M121" i="31"/>
  <c r="N121" i="31"/>
  <c r="M125" i="31"/>
  <c r="N125" i="31"/>
  <c r="M129" i="31"/>
  <c r="N129" i="31"/>
  <c r="M133" i="31"/>
  <c r="N133" i="31"/>
  <c r="M137" i="31"/>
  <c r="N137" i="31"/>
  <c r="M141" i="31"/>
  <c r="N141" i="31"/>
  <c r="M145" i="31"/>
  <c r="N145" i="31"/>
  <c r="M149" i="31"/>
  <c r="N149" i="31"/>
  <c r="M153" i="31"/>
  <c r="N153" i="31"/>
  <c r="M157" i="31"/>
  <c r="N157" i="31"/>
  <c r="M161" i="31"/>
  <c r="N161" i="31"/>
  <c r="M165" i="31"/>
  <c r="N165" i="31"/>
  <c r="M169" i="31"/>
  <c r="N169" i="31"/>
  <c r="M173" i="31"/>
  <c r="N173" i="31"/>
  <c r="M177" i="31"/>
  <c r="N177" i="31"/>
  <c r="M181" i="31"/>
  <c r="N181" i="31"/>
  <c r="M171" i="31"/>
  <c r="M107" i="31"/>
  <c r="M59" i="31"/>
  <c r="M3" i="31"/>
  <c r="M67" i="31"/>
  <c r="M14" i="31"/>
  <c r="M99" i="31"/>
  <c r="K92" i="31"/>
  <c r="K138" i="31"/>
  <c r="M178" i="31"/>
  <c r="K52" i="31"/>
  <c r="M101" i="31"/>
  <c r="M97" i="31"/>
  <c r="M93" i="31"/>
  <c r="M89" i="31"/>
  <c r="M85" i="31"/>
  <c r="M81" i="31"/>
  <c r="M77" i="31"/>
  <c r="M73" i="31"/>
  <c r="M69" i="31"/>
  <c r="M65" i="31"/>
  <c r="M61" i="31"/>
  <c r="M57" i="31"/>
  <c r="M53" i="31"/>
  <c r="M49" i="31"/>
  <c r="M45" i="31"/>
  <c r="M41" i="31"/>
  <c r="M37" i="31"/>
  <c r="M33" i="31"/>
  <c r="M29" i="31"/>
  <c r="M25" i="31"/>
  <c r="M21" i="31"/>
  <c r="M17" i="31"/>
  <c r="M13" i="31"/>
  <c r="M9" i="31"/>
  <c r="M5" i="31"/>
  <c r="M176" i="31"/>
  <c r="M160" i="31"/>
  <c r="M156" i="31"/>
  <c r="M152" i="31"/>
  <c r="M148" i="31"/>
  <c r="M144" i="31"/>
  <c r="M140" i="31"/>
  <c r="M136" i="31"/>
  <c r="M132" i="31"/>
  <c r="M128" i="31"/>
  <c r="M124" i="31"/>
  <c r="M120" i="31"/>
  <c r="M116" i="31"/>
  <c r="M112" i="31"/>
  <c r="M108" i="31"/>
  <c r="M16" i="31"/>
  <c r="M8" i="31"/>
  <c r="K122" i="31"/>
  <c r="K164" i="31"/>
  <c r="K182" i="31"/>
  <c r="K162" i="31"/>
  <c r="K175" i="31"/>
  <c r="K180" i="31"/>
  <c r="K6" i="31"/>
  <c r="K28" i="31"/>
  <c r="K83" i="31"/>
  <c r="K146" i="31"/>
  <c r="K179" i="31"/>
  <c r="K36" i="31"/>
  <c r="K68" i="31"/>
  <c r="K100" i="31"/>
  <c r="K106" i="31"/>
  <c r="K130" i="31"/>
  <c r="K154" i="31"/>
  <c r="K166" i="31"/>
  <c r="K172" i="31"/>
  <c r="K174" i="31"/>
  <c r="K183" i="31"/>
  <c r="K114" i="31"/>
  <c r="K134" i="31"/>
  <c r="K158" i="31"/>
  <c r="K4" i="31"/>
  <c r="K12" i="31"/>
  <c r="K20" i="31"/>
  <c r="K48" i="31"/>
  <c r="K55" i="31"/>
  <c r="K60" i="31"/>
  <c r="K72" i="31"/>
  <c r="K79" i="31"/>
  <c r="K88" i="31"/>
  <c r="K95" i="31"/>
  <c r="K32" i="31"/>
  <c r="K51" i="31"/>
  <c r="K75" i="31"/>
  <c r="K84" i="31"/>
  <c r="K91" i="31"/>
  <c r="K110" i="31"/>
  <c r="K118" i="31"/>
  <c r="K126" i="31"/>
  <c r="K142" i="31"/>
  <c r="K150" i="31"/>
  <c r="K44" i="31"/>
  <c r="K56" i="31"/>
  <c r="K64" i="31"/>
  <c r="K71" i="31"/>
  <c r="K80" i="31"/>
  <c r="K87" i="31"/>
  <c r="K96" i="31"/>
  <c r="K103" i="31"/>
  <c r="K3" i="31"/>
  <c r="K11" i="31"/>
  <c r="K24" i="31"/>
  <c r="K40" i="31"/>
  <c r="K107" i="31"/>
  <c r="K111" i="31"/>
  <c r="K115" i="31"/>
  <c r="K119" i="31"/>
  <c r="K123" i="31"/>
  <c r="K127" i="31"/>
  <c r="K131" i="31"/>
  <c r="K135" i="31"/>
  <c r="K139" i="31"/>
  <c r="K143" i="31"/>
  <c r="K147" i="31"/>
  <c r="K151" i="31"/>
  <c r="K155" i="31"/>
  <c r="K159" i="31"/>
  <c r="K163" i="31"/>
  <c r="K168" i="31"/>
  <c r="K170" i="31"/>
  <c r="K47" i="31"/>
  <c r="K59" i="31"/>
  <c r="K63" i="31"/>
  <c r="K167" i="31"/>
  <c r="K30" i="31"/>
  <c r="K42" i="31"/>
  <c r="K50" i="31"/>
  <c r="K58" i="31"/>
  <c r="K66" i="31"/>
  <c r="K74" i="31"/>
  <c r="K82" i="31"/>
  <c r="K90" i="31"/>
  <c r="K102" i="31"/>
  <c r="K105" i="31"/>
  <c r="K109" i="31"/>
  <c r="K113" i="31"/>
  <c r="K117" i="31"/>
  <c r="K121" i="31"/>
  <c r="K125" i="31"/>
  <c r="K129" i="31"/>
  <c r="K133" i="31"/>
  <c r="K137" i="31"/>
  <c r="K141" i="31"/>
  <c r="K145" i="31"/>
  <c r="K149" i="31"/>
  <c r="K153" i="31"/>
  <c r="K157" i="31"/>
  <c r="K161" i="31"/>
  <c r="K177" i="31"/>
  <c r="K22" i="31"/>
  <c r="K38" i="31"/>
  <c r="K54" i="31"/>
  <c r="K62" i="31"/>
  <c r="K70" i="31"/>
  <c r="K86" i="31"/>
  <c r="K94" i="31"/>
  <c r="K98" i="31"/>
  <c r="K173" i="31"/>
  <c r="K15" i="31"/>
  <c r="K31" i="31"/>
  <c r="K35" i="31"/>
  <c r="K39" i="31"/>
  <c r="K43" i="31"/>
  <c r="K165" i="31"/>
  <c r="K181" i="31"/>
  <c r="K18" i="31"/>
  <c r="K26" i="31"/>
  <c r="K34" i="31"/>
  <c r="K46" i="31"/>
  <c r="K78" i="31"/>
  <c r="K2" i="31"/>
  <c r="K7" i="31"/>
  <c r="K10" i="31"/>
  <c r="K19" i="31"/>
  <c r="K23" i="31"/>
  <c r="K27" i="31"/>
  <c r="K169" i="31"/>
  <c r="H183" i="30"/>
  <c r="L183" i="30" s="1"/>
  <c r="H182" i="30"/>
  <c r="J182" i="30" s="1"/>
  <c r="H181" i="30"/>
  <c r="L181" i="30" s="1"/>
  <c r="H180" i="30"/>
  <c r="L180" i="30" s="1"/>
  <c r="H179" i="30"/>
  <c r="L179" i="30" s="1"/>
  <c r="H178" i="30"/>
  <c r="J178" i="30" s="1"/>
  <c r="H177" i="30"/>
  <c r="L177" i="30" s="1"/>
  <c r="H176" i="30"/>
  <c r="L176" i="30" s="1"/>
  <c r="H175" i="30"/>
  <c r="L175" i="30" s="1"/>
  <c r="L174" i="30"/>
  <c r="H174" i="30"/>
  <c r="J174" i="30" s="1"/>
  <c r="H173" i="30"/>
  <c r="L173" i="30" s="1"/>
  <c r="H172" i="30"/>
  <c r="L172" i="30" s="1"/>
  <c r="H171" i="30"/>
  <c r="L171" i="30" s="1"/>
  <c r="H170" i="30"/>
  <c r="J170" i="30" s="1"/>
  <c r="H169" i="30"/>
  <c r="L169" i="30" s="1"/>
  <c r="H168" i="30"/>
  <c r="L168" i="30" s="1"/>
  <c r="H167" i="30"/>
  <c r="L167" i="30" s="1"/>
  <c r="H166" i="30"/>
  <c r="J166" i="30" s="1"/>
  <c r="H165" i="30"/>
  <c r="L165" i="30" s="1"/>
  <c r="H164" i="30"/>
  <c r="L164" i="30" s="1"/>
  <c r="H163" i="30"/>
  <c r="L163" i="30" s="1"/>
  <c r="H162" i="30"/>
  <c r="J162" i="30" s="1"/>
  <c r="H161" i="30"/>
  <c r="L161" i="30" s="1"/>
  <c r="H160" i="30"/>
  <c r="L160" i="30" s="1"/>
  <c r="H159" i="30"/>
  <c r="L159" i="30" s="1"/>
  <c r="H158" i="30"/>
  <c r="J158" i="30" s="1"/>
  <c r="H157" i="30"/>
  <c r="L157" i="30" s="1"/>
  <c r="H156" i="30"/>
  <c r="L156" i="30" s="1"/>
  <c r="H155" i="30"/>
  <c r="L155" i="30" s="1"/>
  <c r="H154" i="30"/>
  <c r="J154" i="30" s="1"/>
  <c r="H153" i="30"/>
  <c r="L153" i="30" s="1"/>
  <c r="H152" i="30"/>
  <c r="L152" i="30" s="1"/>
  <c r="H151" i="30"/>
  <c r="L151" i="30" s="1"/>
  <c r="H150" i="30"/>
  <c r="J150" i="30" s="1"/>
  <c r="H149" i="30"/>
  <c r="L149" i="30" s="1"/>
  <c r="H148" i="30"/>
  <c r="L148" i="30" s="1"/>
  <c r="H147" i="30"/>
  <c r="L147" i="30" s="1"/>
  <c r="H146" i="30"/>
  <c r="J146" i="30" s="1"/>
  <c r="H145" i="30"/>
  <c r="L145" i="30" s="1"/>
  <c r="H144" i="30"/>
  <c r="L144" i="30" s="1"/>
  <c r="H143" i="30"/>
  <c r="L143" i="30" s="1"/>
  <c r="H142" i="30"/>
  <c r="J142" i="30" s="1"/>
  <c r="H141" i="30"/>
  <c r="L141" i="30" s="1"/>
  <c r="H140" i="30"/>
  <c r="L140" i="30" s="1"/>
  <c r="H139" i="30"/>
  <c r="L139" i="30" s="1"/>
  <c r="H138" i="30"/>
  <c r="J138" i="30" s="1"/>
  <c r="H137" i="30"/>
  <c r="L137" i="30" s="1"/>
  <c r="H136" i="30"/>
  <c r="L136" i="30" s="1"/>
  <c r="H135" i="30"/>
  <c r="L135" i="30" s="1"/>
  <c r="H134" i="30"/>
  <c r="J134" i="30" s="1"/>
  <c r="H133" i="30"/>
  <c r="L133" i="30" s="1"/>
  <c r="H132" i="30"/>
  <c r="L132" i="30" s="1"/>
  <c r="H131" i="30"/>
  <c r="L131" i="30" s="1"/>
  <c r="L130" i="30"/>
  <c r="H130" i="30"/>
  <c r="J130" i="30" s="1"/>
  <c r="H129" i="30"/>
  <c r="L129" i="30" s="1"/>
  <c r="H128" i="30"/>
  <c r="L128" i="30" s="1"/>
  <c r="H127" i="30"/>
  <c r="L127" i="30" s="1"/>
  <c r="H126" i="30"/>
  <c r="J126" i="30" s="1"/>
  <c r="H125" i="30"/>
  <c r="L125" i="30" s="1"/>
  <c r="H124" i="30"/>
  <c r="L124" i="30" s="1"/>
  <c r="H123" i="30"/>
  <c r="L123" i="30" s="1"/>
  <c r="H122" i="30"/>
  <c r="J122" i="30" s="1"/>
  <c r="H121" i="30"/>
  <c r="L121" i="30" s="1"/>
  <c r="H120" i="30"/>
  <c r="L120" i="30" s="1"/>
  <c r="H119" i="30"/>
  <c r="L119" i="30" s="1"/>
  <c r="H118" i="30"/>
  <c r="J118" i="30" s="1"/>
  <c r="H117" i="30"/>
  <c r="L117" i="30" s="1"/>
  <c r="H116" i="30"/>
  <c r="L116" i="30" s="1"/>
  <c r="H115" i="30"/>
  <c r="L115" i="30" s="1"/>
  <c r="H114" i="30"/>
  <c r="J114" i="30" s="1"/>
  <c r="H113" i="30"/>
  <c r="L113" i="30" s="1"/>
  <c r="H112" i="30"/>
  <c r="L112" i="30" s="1"/>
  <c r="H111" i="30"/>
  <c r="L111" i="30" s="1"/>
  <c r="H110" i="30"/>
  <c r="J110" i="30" s="1"/>
  <c r="H109" i="30"/>
  <c r="L109" i="30" s="1"/>
  <c r="H108" i="30"/>
  <c r="L108" i="30" s="1"/>
  <c r="H107" i="30"/>
  <c r="L107" i="30" s="1"/>
  <c r="H106" i="30"/>
  <c r="J106" i="30" s="1"/>
  <c r="H105" i="30"/>
  <c r="L105" i="30" s="1"/>
  <c r="H104" i="30"/>
  <c r="L104" i="30" s="1"/>
  <c r="H103" i="30"/>
  <c r="J103" i="30" s="1"/>
  <c r="J102" i="30"/>
  <c r="H102" i="30"/>
  <c r="L102" i="30" s="1"/>
  <c r="H101" i="30"/>
  <c r="L101" i="30" s="1"/>
  <c r="H100" i="30"/>
  <c r="L100" i="30" s="1"/>
  <c r="H99" i="30"/>
  <c r="J99" i="30" s="1"/>
  <c r="H98" i="30"/>
  <c r="L98" i="30" s="1"/>
  <c r="H97" i="30"/>
  <c r="L97" i="30" s="1"/>
  <c r="H96" i="30"/>
  <c r="L96" i="30" s="1"/>
  <c r="H95" i="30"/>
  <c r="J95" i="30" s="1"/>
  <c r="H94" i="30"/>
  <c r="L94" i="30" s="1"/>
  <c r="H93" i="30"/>
  <c r="L93" i="30" s="1"/>
  <c r="H92" i="30"/>
  <c r="L92" i="30" s="1"/>
  <c r="H91" i="30"/>
  <c r="J91" i="30" s="1"/>
  <c r="H90" i="30"/>
  <c r="L90" i="30" s="1"/>
  <c r="H89" i="30"/>
  <c r="L89" i="30" s="1"/>
  <c r="H88" i="30"/>
  <c r="L88" i="30" s="1"/>
  <c r="H87" i="30"/>
  <c r="J87" i="30" s="1"/>
  <c r="H86" i="30"/>
  <c r="L86" i="30" s="1"/>
  <c r="H85" i="30"/>
  <c r="L85" i="30" s="1"/>
  <c r="H84" i="30"/>
  <c r="L84" i="30" s="1"/>
  <c r="H83" i="30"/>
  <c r="J83" i="30" s="1"/>
  <c r="H82" i="30"/>
  <c r="L82" i="30" s="1"/>
  <c r="H81" i="30"/>
  <c r="L81" i="30" s="1"/>
  <c r="H80" i="30"/>
  <c r="L80" i="30" s="1"/>
  <c r="H79" i="30"/>
  <c r="J79" i="30" s="1"/>
  <c r="H78" i="30"/>
  <c r="L78" i="30" s="1"/>
  <c r="H77" i="30"/>
  <c r="L77" i="30" s="1"/>
  <c r="H76" i="30"/>
  <c r="L76" i="30" s="1"/>
  <c r="H75" i="30"/>
  <c r="J75" i="30" s="1"/>
  <c r="H74" i="30"/>
  <c r="L74" i="30" s="1"/>
  <c r="H73" i="30"/>
  <c r="L73" i="30" s="1"/>
  <c r="J72" i="30"/>
  <c r="H72" i="30"/>
  <c r="L72" i="30" s="1"/>
  <c r="H71" i="30"/>
  <c r="J71" i="30" s="1"/>
  <c r="H70" i="30"/>
  <c r="L70" i="30" s="1"/>
  <c r="H69" i="30"/>
  <c r="L69" i="30" s="1"/>
  <c r="H68" i="30"/>
  <c r="L68" i="30" s="1"/>
  <c r="H67" i="30"/>
  <c r="J67" i="30" s="1"/>
  <c r="H66" i="30"/>
  <c r="L66" i="30" s="1"/>
  <c r="H65" i="30"/>
  <c r="L65" i="30" s="1"/>
  <c r="H64" i="30"/>
  <c r="L64" i="30" s="1"/>
  <c r="H63" i="30"/>
  <c r="J63" i="30" s="1"/>
  <c r="J62" i="30"/>
  <c r="H62" i="30"/>
  <c r="L62" i="30" s="1"/>
  <c r="H61" i="30"/>
  <c r="L61" i="30" s="1"/>
  <c r="H60" i="30"/>
  <c r="L60" i="30" s="1"/>
  <c r="H59" i="30"/>
  <c r="J59" i="30" s="1"/>
  <c r="H58" i="30"/>
  <c r="L58" i="30" s="1"/>
  <c r="H57" i="30"/>
  <c r="L57" i="30" s="1"/>
  <c r="H56" i="30"/>
  <c r="L56" i="30" s="1"/>
  <c r="H55" i="30"/>
  <c r="J55" i="30" s="1"/>
  <c r="H54" i="30"/>
  <c r="L54" i="30" s="1"/>
  <c r="H53" i="30"/>
  <c r="L53" i="30" s="1"/>
  <c r="H52" i="30"/>
  <c r="L52" i="30" s="1"/>
  <c r="H51" i="30"/>
  <c r="J51" i="30" s="1"/>
  <c r="H50" i="30"/>
  <c r="L50" i="30" s="1"/>
  <c r="H49" i="30"/>
  <c r="L49" i="30" s="1"/>
  <c r="H48" i="30"/>
  <c r="L48" i="30" s="1"/>
  <c r="H47" i="30"/>
  <c r="J47" i="30" s="1"/>
  <c r="H46" i="30"/>
  <c r="L46" i="30" s="1"/>
  <c r="H45" i="30"/>
  <c r="L45" i="30" s="1"/>
  <c r="H44" i="30"/>
  <c r="L44" i="30" s="1"/>
  <c r="H43" i="30"/>
  <c r="J43" i="30" s="1"/>
  <c r="H42" i="30"/>
  <c r="L42" i="30" s="1"/>
  <c r="H41" i="30"/>
  <c r="L41" i="30" s="1"/>
  <c r="H40" i="30"/>
  <c r="L40" i="30" s="1"/>
  <c r="H39" i="30"/>
  <c r="J39" i="30" s="1"/>
  <c r="H38" i="30"/>
  <c r="L38" i="30" s="1"/>
  <c r="H37" i="30"/>
  <c r="L37" i="30" s="1"/>
  <c r="H36" i="30"/>
  <c r="L36" i="30" s="1"/>
  <c r="H35" i="30"/>
  <c r="J35" i="30" s="1"/>
  <c r="H34" i="30"/>
  <c r="L34" i="30" s="1"/>
  <c r="H33" i="30"/>
  <c r="L33" i="30" s="1"/>
  <c r="H32" i="30"/>
  <c r="L32" i="30" s="1"/>
  <c r="H31" i="30"/>
  <c r="J31" i="30" s="1"/>
  <c r="H30" i="30"/>
  <c r="J30" i="30" s="1"/>
  <c r="H29" i="30"/>
  <c r="L29" i="30" s="1"/>
  <c r="H28" i="30"/>
  <c r="L28" i="30" s="1"/>
  <c r="H27" i="30"/>
  <c r="J27" i="30" s="1"/>
  <c r="H26" i="30"/>
  <c r="L26" i="30" s="1"/>
  <c r="H25" i="30"/>
  <c r="L25" i="30" s="1"/>
  <c r="H24" i="30"/>
  <c r="L24" i="30" s="1"/>
  <c r="H23" i="30"/>
  <c r="J23" i="30" s="1"/>
  <c r="H22" i="30"/>
  <c r="L22" i="30" s="1"/>
  <c r="H21" i="30"/>
  <c r="L21" i="30" s="1"/>
  <c r="H20" i="30"/>
  <c r="L20" i="30" s="1"/>
  <c r="H19" i="30"/>
  <c r="J19" i="30" s="1"/>
  <c r="H18" i="30"/>
  <c r="J18" i="30" s="1"/>
  <c r="H17" i="30"/>
  <c r="L17" i="30" s="1"/>
  <c r="H16" i="30"/>
  <c r="L16" i="30" s="1"/>
  <c r="H15" i="30"/>
  <c r="J15" i="30" s="1"/>
  <c r="H14" i="30"/>
  <c r="L14" i="30" s="1"/>
  <c r="H13" i="30"/>
  <c r="L13" i="30" s="1"/>
  <c r="H12" i="30"/>
  <c r="L12" i="30" s="1"/>
  <c r="H11" i="30"/>
  <c r="J11" i="30" s="1"/>
  <c r="H10" i="30"/>
  <c r="L10" i="30" s="1"/>
  <c r="H9" i="30"/>
  <c r="L9" i="30" s="1"/>
  <c r="H8" i="30"/>
  <c r="L8" i="30" s="1"/>
  <c r="H7" i="30"/>
  <c r="J7" i="30" s="1"/>
  <c r="H6" i="30"/>
  <c r="L6" i="30" s="1"/>
  <c r="H5" i="30"/>
  <c r="L5" i="30" s="1"/>
  <c r="H4" i="30"/>
  <c r="L4" i="30" s="1"/>
  <c r="H3" i="30"/>
  <c r="J3" i="30" s="1"/>
  <c r="H2" i="30"/>
  <c r="J2" i="30" s="1"/>
  <c r="J56" i="30" l="1"/>
  <c r="J70" i="30"/>
  <c r="L142" i="30"/>
  <c r="L11" i="30"/>
  <c r="J14" i="30"/>
  <c r="L162" i="30"/>
  <c r="N184" i="31"/>
  <c r="L47" i="30"/>
  <c r="J54" i="30"/>
  <c r="J88" i="30"/>
  <c r="L110" i="30"/>
  <c r="L146" i="30"/>
  <c r="L178" i="30"/>
  <c r="J86" i="30"/>
  <c r="L114" i="30"/>
  <c r="L158" i="30"/>
  <c r="L182" i="30"/>
  <c r="L35" i="30"/>
  <c r="J38" i="30"/>
  <c r="J52" i="30"/>
  <c r="J64" i="30"/>
  <c r="J80" i="30"/>
  <c r="J96" i="30"/>
  <c r="L118" i="30"/>
  <c r="L134" i="30"/>
  <c r="L150" i="30"/>
  <c r="L166" i="30"/>
  <c r="L2" i="30"/>
  <c r="J78" i="30"/>
  <c r="J94" i="30"/>
  <c r="L106" i="30"/>
  <c r="L122" i="30"/>
  <c r="L138" i="30"/>
  <c r="L154" i="30"/>
  <c r="L170" i="30"/>
  <c r="J173" i="30"/>
  <c r="J175" i="30"/>
  <c r="J177" i="30"/>
  <c r="J179" i="30"/>
  <c r="J181" i="30"/>
  <c r="J183" i="30"/>
  <c r="L23" i="30"/>
  <c r="J26" i="30"/>
  <c r="L126" i="30"/>
  <c r="J50" i="30"/>
  <c r="J60" i="30"/>
  <c r="J68" i="30"/>
  <c r="J76" i="30"/>
  <c r="J84" i="30"/>
  <c r="J92" i="30"/>
  <c r="J100" i="30"/>
  <c r="L30" i="30"/>
  <c r="L43" i="30"/>
  <c r="J46" i="30"/>
  <c r="J48" i="30"/>
  <c r="J58" i="30"/>
  <c r="J66" i="30"/>
  <c r="J74" i="30"/>
  <c r="J82" i="30"/>
  <c r="J90" i="30"/>
  <c r="J98" i="30"/>
  <c r="L103" i="30"/>
  <c r="J105" i="30"/>
  <c r="J107" i="30"/>
  <c r="J109" i="30"/>
  <c r="J111" i="30"/>
  <c r="J113" i="30"/>
  <c r="J115" i="30"/>
  <c r="J117" i="30"/>
  <c r="J119" i="30"/>
  <c r="J121" i="30"/>
  <c r="J123" i="30"/>
  <c r="J125" i="30"/>
  <c r="J127" i="30"/>
  <c r="J129" i="30"/>
  <c r="J131" i="30"/>
  <c r="J133" i="30"/>
  <c r="J135" i="30"/>
  <c r="J137" i="30"/>
  <c r="J139" i="30"/>
  <c r="J141" i="30"/>
  <c r="J143" i="30"/>
  <c r="J145" i="30"/>
  <c r="J147" i="30"/>
  <c r="J149" i="30"/>
  <c r="J151" i="30"/>
  <c r="J153" i="30"/>
  <c r="J155" i="30"/>
  <c r="J157" i="30"/>
  <c r="J159" i="30"/>
  <c r="J161" i="30"/>
  <c r="J163" i="30"/>
  <c r="J165" i="30"/>
  <c r="J167" i="30"/>
  <c r="J169" i="30"/>
  <c r="J171" i="30"/>
  <c r="L7" i="30"/>
  <c r="J10" i="30"/>
  <c r="L18" i="30"/>
  <c r="L27" i="30"/>
  <c r="L55" i="30"/>
  <c r="L3" i="30"/>
  <c r="J6" i="30"/>
  <c r="L19" i="30"/>
  <c r="J22" i="30"/>
  <c r="L15" i="30"/>
  <c r="L31" i="30"/>
  <c r="J34" i="30"/>
  <c r="L39" i="30"/>
  <c r="J42" i="30"/>
  <c r="L51" i="30"/>
  <c r="L59" i="30"/>
  <c r="L63" i="30"/>
  <c r="L67" i="30"/>
  <c r="L71" i="30"/>
  <c r="L75" i="30"/>
  <c r="L79" i="30"/>
  <c r="L83" i="30"/>
  <c r="L87" i="30"/>
  <c r="L91" i="30"/>
  <c r="L95" i="30"/>
  <c r="L99" i="30"/>
  <c r="J5" i="30"/>
  <c r="J9" i="30"/>
  <c r="J13" i="30"/>
  <c r="J17" i="30"/>
  <c r="J21" i="30"/>
  <c r="J25" i="30"/>
  <c r="J29" i="30"/>
  <c r="J33" i="30"/>
  <c r="J37" i="30"/>
  <c r="J41" i="30"/>
  <c r="J45" i="30"/>
  <c r="J49" i="30"/>
  <c r="J53" i="30"/>
  <c r="J57" i="30"/>
  <c r="J61" i="30"/>
  <c r="J65" i="30"/>
  <c r="J69" i="30"/>
  <c r="J73" i="30"/>
  <c r="J77" i="30"/>
  <c r="J81" i="30"/>
  <c r="J85" i="30"/>
  <c r="J89" i="30"/>
  <c r="J93" i="30"/>
  <c r="J97" i="30"/>
  <c r="J101" i="30"/>
  <c r="J108" i="30"/>
  <c r="J112" i="30"/>
  <c r="J116" i="30"/>
  <c r="J120" i="30"/>
  <c r="J124" i="30"/>
  <c r="J128" i="30"/>
  <c r="J132" i="30"/>
  <c r="J136" i="30"/>
  <c r="J140" i="30"/>
  <c r="J144" i="30"/>
  <c r="J148" i="30"/>
  <c r="J152" i="30"/>
  <c r="J156" i="30"/>
  <c r="J160" i="30"/>
  <c r="J164" i="30"/>
  <c r="J168" i="30"/>
  <c r="J172" i="30"/>
  <c r="J176" i="30"/>
  <c r="J180" i="30"/>
  <c r="J4" i="30"/>
  <c r="J8" i="30"/>
  <c r="J12" i="30"/>
  <c r="J16" i="30"/>
  <c r="J20" i="30"/>
  <c r="J24" i="30"/>
  <c r="J28" i="30"/>
  <c r="J32" i="30"/>
  <c r="J36" i="30"/>
  <c r="J40" i="30"/>
  <c r="J44" i="30"/>
  <c r="H183" i="29" l="1"/>
  <c r="H182" i="29"/>
  <c r="H181" i="29"/>
  <c r="L181" i="29" s="1"/>
  <c r="H180" i="29"/>
  <c r="L180" i="29" s="1"/>
  <c r="H179" i="29"/>
  <c r="L179" i="29" s="1"/>
  <c r="H178" i="29"/>
  <c r="H177" i="29"/>
  <c r="L177" i="29" s="1"/>
  <c r="H176" i="29"/>
  <c r="L176" i="29" s="1"/>
  <c r="H175" i="29"/>
  <c r="H174" i="29"/>
  <c r="H173" i="29"/>
  <c r="L173" i="29" s="1"/>
  <c r="H172" i="29"/>
  <c r="L172" i="29" s="1"/>
  <c r="H171" i="29"/>
  <c r="L171" i="29" s="1"/>
  <c r="H170" i="29"/>
  <c r="H169" i="29"/>
  <c r="L169" i="29" s="1"/>
  <c r="H168" i="29"/>
  <c r="L168" i="29" s="1"/>
  <c r="H167" i="29"/>
  <c r="L167" i="29" s="1"/>
  <c r="H166" i="29"/>
  <c r="H165" i="29"/>
  <c r="L165" i="29" s="1"/>
  <c r="H164" i="29"/>
  <c r="L164" i="29" s="1"/>
  <c r="H163" i="29"/>
  <c r="L163" i="29" s="1"/>
  <c r="H162" i="29"/>
  <c r="H161" i="29"/>
  <c r="L161" i="29" s="1"/>
  <c r="H160" i="29"/>
  <c r="L160" i="29" s="1"/>
  <c r="H159" i="29"/>
  <c r="L159" i="29" s="1"/>
  <c r="H158" i="29"/>
  <c r="H157" i="29"/>
  <c r="L157" i="29" s="1"/>
  <c r="H156" i="29"/>
  <c r="L156" i="29" s="1"/>
  <c r="H155" i="29"/>
  <c r="L155" i="29" s="1"/>
  <c r="H154" i="29"/>
  <c r="H153" i="29"/>
  <c r="L153" i="29" s="1"/>
  <c r="H152" i="29"/>
  <c r="L152" i="29" s="1"/>
  <c r="H151" i="29"/>
  <c r="L151" i="29" s="1"/>
  <c r="H150" i="29"/>
  <c r="H149" i="29"/>
  <c r="L149" i="29" s="1"/>
  <c r="H148" i="29"/>
  <c r="L148" i="29" s="1"/>
  <c r="H147" i="29"/>
  <c r="L147" i="29" s="1"/>
  <c r="H146" i="29"/>
  <c r="H145" i="29"/>
  <c r="L145" i="29" s="1"/>
  <c r="H144" i="29"/>
  <c r="L144" i="29" s="1"/>
  <c r="H143" i="29"/>
  <c r="L143" i="29" s="1"/>
  <c r="H142" i="29"/>
  <c r="H141" i="29"/>
  <c r="L141" i="29" s="1"/>
  <c r="H140" i="29"/>
  <c r="L140" i="29" s="1"/>
  <c r="H139" i="29"/>
  <c r="L139" i="29" s="1"/>
  <c r="H138" i="29"/>
  <c r="H137" i="29"/>
  <c r="L137" i="29" s="1"/>
  <c r="H136" i="29"/>
  <c r="L136" i="29" s="1"/>
  <c r="H135" i="29"/>
  <c r="L135" i="29" s="1"/>
  <c r="H134" i="29"/>
  <c r="H133" i="29"/>
  <c r="L133" i="29" s="1"/>
  <c r="H132" i="29"/>
  <c r="L132" i="29" s="1"/>
  <c r="H131" i="29"/>
  <c r="L131" i="29" s="1"/>
  <c r="H130" i="29"/>
  <c r="H129" i="29"/>
  <c r="L129" i="29" s="1"/>
  <c r="H128" i="29"/>
  <c r="L128" i="29" s="1"/>
  <c r="H127" i="29"/>
  <c r="L127" i="29" s="1"/>
  <c r="H126" i="29"/>
  <c r="H125" i="29"/>
  <c r="L125" i="29" s="1"/>
  <c r="H124" i="29"/>
  <c r="L124" i="29" s="1"/>
  <c r="H123" i="29"/>
  <c r="L123" i="29" s="1"/>
  <c r="H122" i="29"/>
  <c r="H121" i="29"/>
  <c r="L121" i="29" s="1"/>
  <c r="H120" i="29"/>
  <c r="L120" i="29" s="1"/>
  <c r="H119" i="29"/>
  <c r="L119" i="29" s="1"/>
  <c r="H118" i="29"/>
  <c r="H117" i="29"/>
  <c r="L117" i="29" s="1"/>
  <c r="H116" i="29"/>
  <c r="L116" i="29" s="1"/>
  <c r="H115" i="29"/>
  <c r="L115" i="29" s="1"/>
  <c r="H114" i="29"/>
  <c r="H113" i="29"/>
  <c r="L113" i="29" s="1"/>
  <c r="H112" i="29"/>
  <c r="L112" i="29" s="1"/>
  <c r="H111" i="29"/>
  <c r="L111" i="29" s="1"/>
  <c r="H110" i="29"/>
  <c r="H109" i="29"/>
  <c r="L109" i="29" s="1"/>
  <c r="H108" i="29"/>
  <c r="L108" i="29" s="1"/>
  <c r="H107" i="29"/>
  <c r="L107" i="29" s="1"/>
  <c r="H106" i="29"/>
  <c r="H105" i="29"/>
  <c r="L105" i="29" s="1"/>
  <c r="H104" i="29"/>
  <c r="L104" i="29" s="1"/>
  <c r="H103" i="29"/>
  <c r="H102" i="29"/>
  <c r="L102" i="29" s="1"/>
  <c r="H101" i="29"/>
  <c r="L101" i="29" s="1"/>
  <c r="H100" i="29"/>
  <c r="L100" i="29" s="1"/>
  <c r="H99" i="29"/>
  <c r="H98" i="29"/>
  <c r="H97" i="29"/>
  <c r="L97" i="29" s="1"/>
  <c r="H96" i="29"/>
  <c r="L96" i="29" s="1"/>
  <c r="H95" i="29"/>
  <c r="H94" i="29"/>
  <c r="L94" i="29" s="1"/>
  <c r="H93" i="29"/>
  <c r="L93" i="29" s="1"/>
  <c r="H92" i="29"/>
  <c r="L92" i="29" s="1"/>
  <c r="H91" i="29"/>
  <c r="H90" i="29"/>
  <c r="H89" i="29"/>
  <c r="L89" i="29" s="1"/>
  <c r="H88" i="29"/>
  <c r="L88" i="29" s="1"/>
  <c r="H87" i="29"/>
  <c r="H86" i="29"/>
  <c r="L86" i="29" s="1"/>
  <c r="H85" i="29"/>
  <c r="L85" i="29" s="1"/>
  <c r="H84" i="29"/>
  <c r="L84" i="29" s="1"/>
  <c r="H83" i="29"/>
  <c r="H82" i="29"/>
  <c r="H81" i="29"/>
  <c r="L81" i="29" s="1"/>
  <c r="J80" i="29"/>
  <c r="H80" i="29"/>
  <c r="L80" i="29" s="1"/>
  <c r="H79" i="29"/>
  <c r="H78" i="29"/>
  <c r="L78" i="29" s="1"/>
  <c r="H77" i="29"/>
  <c r="L77" i="29" s="1"/>
  <c r="H76" i="29"/>
  <c r="L76" i="29" s="1"/>
  <c r="H75" i="29"/>
  <c r="H74" i="29"/>
  <c r="H73" i="29"/>
  <c r="L73" i="29" s="1"/>
  <c r="H72" i="29"/>
  <c r="L72" i="29" s="1"/>
  <c r="H71" i="29"/>
  <c r="H70" i="29"/>
  <c r="L70" i="29" s="1"/>
  <c r="H69" i="29"/>
  <c r="L69" i="29" s="1"/>
  <c r="H68" i="29"/>
  <c r="L68" i="29" s="1"/>
  <c r="H67" i="29"/>
  <c r="H66" i="29"/>
  <c r="H65" i="29"/>
  <c r="L65" i="29" s="1"/>
  <c r="H64" i="29"/>
  <c r="L64" i="29" s="1"/>
  <c r="H63" i="29"/>
  <c r="H62" i="29"/>
  <c r="L62" i="29" s="1"/>
  <c r="H61" i="29"/>
  <c r="L61" i="29" s="1"/>
  <c r="H60" i="29"/>
  <c r="L60" i="29" s="1"/>
  <c r="H59" i="29"/>
  <c r="H58" i="29"/>
  <c r="H57" i="29"/>
  <c r="L57" i="29" s="1"/>
  <c r="H56" i="29"/>
  <c r="L56" i="29" s="1"/>
  <c r="H55" i="29"/>
  <c r="H54" i="29"/>
  <c r="L54" i="29" s="1"/>
  <c r="H53" i="29"/>
  <c r="L53" i="29" s="1"/>
  <c r="H52" i="29"/>
  <c r="L52" i="29" s="1"/>
  <c r="H51" i="29"/>
  <c r="H50" i="29"/>
  <c r="H49" i="29"/>
  <c r="L49" i="29" s="1"/>
  <c r="H48" i="29"/>
  <c r="L48" i="29" s="1"/>
  <c r="H47" i="29"/>
  <c r="H46" i="29"/>
  <c r="L46" i="29" s="1"/>
  <c r="H45" i="29"/>
  <c r="L45" i="29" s="1"/>
  <c r="H44" i="29"/>
  <c r="L44" i="29" s="1"/>
  <c r="H43" i="29"/>
  <c r="H42" i="29"/>
  <c r="H41" i="29"/>
  <c r="L41" i="29" s="1"/>
  <c r="H40" i="29"/>
  <c r="L40" i="29" s="1"/>
  <c r="H39" i="29"/>
  <c r="H38" i="29"/>
  <c r="L38" i="29" s="1"/>
  <c r="H37" i="29"/>
  <c r="L37" i="29" s="1"/>
  <c r="H36" i="29"/>
  <c r="L36" i="29" s="1"/>
  <c r="H35" i="29"/>
  <c r="H34" i="29"/>
  <c r="H33" i="29"/>
  <c r="H32" i="29"/>
  <c r="L32" i="29" s="1"/>
  <c r="H31" i="29"/>
  <c r="L31" i="29" s="1"/>
  <c r="H30" i="29"/>
  <c r="L30" i="29" s="1"/>
  <c r="H29" i="29"/>
  <c r="H28" i="29"/>
  <c r="L28" i="29" s="1"/>
  <c r="H27" i="29"/>
  <c r="H26" i="29"/>
  <c r="L26" i="29" s="1"/>
  <c r="H25" i="29"/>
  <c r="H24" i="29"/>
  <c r="L24" i="29" s="1"/>
  <c r="H23" i="29"/>
  <c r="L23" i="29" s="1"/>
  <c r="H22" i="29"/>
  <c r="L22" i="29" s="1"/>
  <c r="H21" i="29"/>
  <c r="H20" i="29"/>
  <c r="H19" i="29"/>
  <c r="H18" i="29"/>
  <c r="L18" i="29" s="1"/>
  <c r="H17" i="29"/>
  <c r="H16" i="29"/>
  <c r="L16" i="29" s="1"/>
  <c r="H15" i="29"/>
  <c r="H14" i="29"/>
  <c r="L14" i="29" s="1"/>
  <c r="H13" i="29"/>
  <c r="H12" i="29"/>
  <c r="L12" i="29" s="1"/>
  <c r="H11" i="29"/>
  <c r="H10" i="29"/>
  <c r="H9" i="29"/>
  <c r="L9" i="29" s="1"/>
  <c r="H8" i="29"/>
  <c r="L8" i="29" s="1"/>
  <c r="H7" i="29"/>
  <c r="H6" i="29"/>
  <c r="H5" i="29"/>
  <c r="L5" i="29" s="1"/>
  <c r="H4" i="29"/>
  <c r="L4" i="29" s="1"/>
  <c r="H3" i="29"/>
  <c r="H2" i="29"/>
  <c r="J2" i="29" s="1"/>
  <c r="J17" i="29" l="1"/>
  <c r="L17" i="29"/>
  <c r="J29" i="29"/>
  <c r="L29" i="29"/>
  <c r="J13" i="29"/>
  <c r="L13" i="29"/>
  <c r="J25" i="29"/>
  <c r="L25" i="29"/>
  <c r="J33" i="29"/>
  <c r="L33" i="29"/>
  <c r="J6" i="29"/>
  <c r="L6" i="29"/>
  <c r="J10" i="29"/>
  <c r="L10" i="29"/>
  <c r="J42" i="29"/>
  <c r="L42" i="29"/>
  <c r="J50" i="29"/>
  <c r="L50" i="29"/>
  <c r="J66" i="29"/>
  <c r="L66" i="29"/>
  <c r="J74" i="29"/>
  <c r="L74" i="29"/>
  <c r="J21" i="29"/>
  <c r="L21" i="29"/>
  <c r="J34" i="29"/>
  <c r="L34" i="29"/>
  <c r="J58" i="29"/>
  <c r="L58" i="29"/>
  <c r="J3" i="29"/>
  <c r="L3" i="29"/>
  <c r="J7" i="29"/>
  <c r="L7" i="29"/>
  <c r="J11" i="29"/>
  <c r="L11" i="29"/>
  <c r="J15" i="29"/>
  <c r="L15" i="29"/>
  <c r="J19" i="29"/>
  <c r="L19" i="29"/>
  <c r="J27" i="29"/>
  <c r="L27" i="29"/>
  <c r="J35" i="29"/>
  <c r="L35" i="29"/>
  <c r="J39" i="29"/>
  <c r="L39" i="29"/>
  <c r="J43" i="29"/>
  <c r="L43" i="29"/>
  <c r="J47" i="29"/>
  <c r="L47" i="29"/>
  <c r="J51" i="29"/>
  <c r="L51" i="29"/>
  <c r="J55" i="29"/>
  <c r="L55" i="29"/>
  <c r="J59" i="29"/>
  <c r="L59" i="29"/>
  <c r="J63" i="29"/>
  <c r="L63" i="29"/>
  <c r="J67" i="29"/>
  <c r="L67" i="29"/>
  <c r="J71" i="29"/>
  <c r="L71" i="29"/>
  <c r="J75" i="29"/>
  <c r="L75" i="29"/>
  <c r="J79" i="29"/>
  <c r="L79" i="29"/>
  <c r="J82" i="29"/>
  <c r="L82" i="29"/>
  <c r="J90" i="29"/>
  <c r="L90" i="29"/>
  <c r="J98" i="29"/>
  <c r="L98" i="29"/>
  <c r="J106" i="29"/>
  <c r="L106" i="29"/>
  <c r="J110" i="29"/>
  <c r="L110" i="29"/>
  <c r="J114" i="29"/>
  <c r="L114" i="29"/>
  <c r="J118" i="29"/>
  <c r="L118" i="29"/>
  <c r="J122" i="29"/>
  <c r="L122" i="29"/>
  <c r="J126" i="29"/>
  <c r="L126" i="29"/>
  <c r="J130" i="29"/>
  <c r="L130" i="29"/>
  <c r="J134" i="29"/>
  <c r="L134" i="29"/>
  <c r="J138" i="29"/>
  <c r="L138" i="29"/>
  <c r="J142" i="29"/>
  <c r="L142" i="29"/>
  <c r="J146" i="29"/>
  <c r="L146" i="29"/>
  <c r="J150" i="29"/>
  <c r="L150" i="29"/>
  <c r="J154" i="29"/>
  <c r="L154" i="29"/>
  <c r="J158" i="29"/>
  <c r="L158" i="29"/>
  <c r="J162" i="29"/>
  <c r="L162" i="29"/>
  <c r="J166" i="29"/>
  <c r="L166" i="29"/>
  <c r="J170" i="29"/>
  <c r="L170" i="29"/>
  <c r="J174" i="29"/>
  <c r="L174" i="29"/>
  <c r="J178" i="29"/>
  <c r="L178" i="29"/>
  <c r="J182" i="29"/>
  <c r="L182" i="29"/>
  <c r="J20" i="29"/>
  <c r="L20" i="29"/>
  <c r="J83" i="29"/>
  <c r="L83" i="29"/>
  <c r="J87" i="29"/>
  <c r="L87" i="29"/>
  <c r="J91" i="29"/>
  <c r="L91" i="29"/>
  <c r="J95" i="29"/>
  <c r="L95" i="29"/>
  <c r="J99" i="29"/>
  <c r="L99" i="29"/>
  <c r="J103" i="29"/>
  <c r="L103" i="29"/>
  <c r="J175" i="29"/>
  <c r="L175" i="29"/>
  <c r="J183" i="29"/>
  <c r="L183" i="29"/>
  <c r="J32" i="29"/>
  <c r="J96" i="29"/>
  <c r="J14" i="29"/>
  <c r="J48" i="29"/>
  <c r="J64" i="29"/>
  <c r="J181" i="29"/>
  <c r="J46" i="29"/>
  <c r="J62" i="29"/>
  <c r="L2" i="29"/>
  <c r="J24" i="29"/>
  <c r="J40" i="29"/>
  <c r="J56" i="29"/>
  <c r="J72" i="29"/>
  <c r="J88" i="29"/>
  <c r="J78" i="29"/>
  <c r="J94" i="29"/>
  <c r="J38" i="29"/>
  <c r="J54" i="29"/>
  <c r="J70" i="29"/>
  <c r="J86" i="29"/>
  <c r="J102" i="29"/>
  <c r="J173" i="29"/>
  <c r="J22" i="29"/>
  <c r="J31" i="29"/>
  <c r="J36" i="29"/>
  <c r="J44" i="29"/>
  <c r="J52" i="29"/>
  <c r="J60" i="29"/>
  <c r="J68" i="29"/>
  <c r="J76" i="29"/>
  <c r="J84" i="29"/>
  <c r="J92" i="29"/>
  <c r="J100" i="29"/>
  <c r="J179" i="29"/>
  <c r="J177" i="29"/>
  <c r="J16" i="29"/>
  <c r="J23" i="29"/>
  <c r="J26" i="29"/>
  <c r="J28" i="29"/>
  <c r="J5" i="29"/>
  <c r="J9" i="29"/>
  <c r="J18" i="29"/>
  <c r="J30" i="29"/>
  <c r="J105" i="29"/>
  <c r="J107" i="29"/>
  <c r="J109" i="29"/>
  <c r="J111" i="29"/>
  <c r="J113" i="29"/>
  <c r="J115" i="29"/>
  <c r="J117" i="29"/>
  <c r="J119" i="29"/>
  <c r="J121" i="29"/>
  <c r="J123" i="29"/>
  <c r="J125" i="29"/>
  <c r="J127" i="29"/>
  <c r="J129" i="29"/>
  <c r="J131" i="29"/>
  <c r="J133" i="29"/>
  <c r="J135" i="29"/>
  <c r="J137" i="29"/>
  <c r="J139" i="29"/>
  <c r="J141" i="29"/>
  <c r="J143" i="29"/>
  <c r="J145" i="29"/>
  <c r="J147" i="29"/>
  <c r="J149" i="29"/>
  <c r="J151" i="29"/>
  <c r="J153" i="29"/>
  <c r="J155" i="29"/>
  <c r="J157" i="29"/>
  <c r="J159" i="29"/>
  <c r="J161" i="29"/>
  <c r="J163" i="29"/>
  <c r="J165" i="29"/>
  <c r="J167" i="29"/>
  <c r="J169" i="29"/>
  <c r="J171" i="29"/>
  <c r="J132" i="29"/>
  <c r="J140" i="29"/>
  <c r="J148" i="29"/>
  <c r="J152" i="29"/>
  <c r="J156" i="29"/>
  <c r="J160" i="29"/>
  <c r="J168" i="29"/>
  <c r="J172" i="29"/>
  <c r="J176" i="29"/>
  <c r="J180" i="29"/>
  <c r="J4" i="29"/>
  <c r="J8" i="29"/>
  <c r="J12" i="29"/>
  <c r="J112" i="29"/>
  <c r="J120" i="29"/>
  <c r="J128" i="29"/>
  <c r="J144" i="29"/>
  <c r="J37" i="29"/>
  <c r="J41" i="29"/>
  <c r="J45" i="29"/>
  <c r="J49" i="29"/>
  <c r="J53" i="29"/>
  <c r="J57" i="29"/>
  <c r="J61" i="29"/>
  <c r="J65" i="29"/>
  <c r="J69" i="29"/>
  <c r="J73" i="29"/>
  <c r="J77" i="29"/>
  <c r="J81" i="29"/>
  <c r="J85" i="29"/>
  <c r="J89" i="29"/>
  <c r="J93" i="29"/>
  <c r="J97" i="29"/>
  <c r="J101" i="29"/>
  <c r="J108" i="29"/>
  <c r="J116" i="29"/>
  <c r="J124" i="29"/>
  <c r="J136" i="29"/>
  <c r="J164" i="29"/>
  <c r="H183" i="28"/>
  <c r="H182" i="28"/>
  <c r="J182" i="28" s="1"/>
  <c r="H181" i="28"/>
  <c r="J181" i="28" s="1"/>
  <c r="H180" i="28"/>
  <c r="L180" i="28" s="1"/>
  <c r="H179" i="28"/>
  <c r="H178" i="28"/>
  <c r="J178" i="28" s="1"/>
  <c r="H177" i="28"/>
  <c r="L177" i="28" s="1"/>
  <c r="H176" i="28"/>
  <c r="L176" i="28" s="1"/>
  <c r="H175" i="28"/>
  <c r="H174" i="28"/>
  <c r="J174" i="28" s="1"/>
  <c r="H173" i="28"/>
  <c r="L173" i="28" s="1"/>
  <c r="H172" i="28"/>
  <c r="L172" i="28" s="1"/>
  <c r="H171" i="28"/>
  <c r="H170" i="28"/>
  <c r="J170" i="28" s="1"/>
  <c r="H169" i="28"/>
  <c r="L169" i="28" s="1"/>
  <c r="H168" i="28"/>
  <c r="L168" i="28" s="1"/>
  <c r="H167" i="28"/>
  <c r="H166" i="28"/>
  <c r="J166" i="28" s="1"/>
  <c r="H165" i="28"/>
  <c r="J165" i="28" s="1"/>
  <c r="H164" i="28"/>
  <c r="L164" i="28" s="1"/>
  <c r="H163" i="28"/>
  <c r="H162" i="28"/>
  <c r="J162" i="28" s="1"/>
  <c r="H161" i="28"/>
  <c r="J161" i="28" s="1"/>
  <c r="H160" i="28"/>
  <c r="L160" i="28" s="1"/>
  <c r="H159" i="28"/>
  <c r="H158" i="28"/>
  <c r="J158" i="28" s="1"/>
  <c r="H157" i="28"/>
  <c r="L157" i="28" s="1"/>
  <c r="H156" i="28"/>
  <c r="L156" i="28" s="1"/>
  <c r="H155" i="28"/>
  <c r="H154" i="28"/>
  <c r="J154" i="28" s="1"/>
  <c r="H153" i="28"/>
  <c r="L153" i="28" s="1"/>
  <c r="H152" i="28"/>
  <c r="L152" i="28" s="1"/>
  <c r="H151" i="28"/>
  <c r="H150" i="28"/>
  <c r="J150" i="28" s="1"/>
  <c r="H149" i="28"/>
  <c r="J149" i="28" s="1"/>
  <c r="H148" i="28"/>
  <c r="L148" i="28" s="1"/>
  <c r="H147" i="28"/>
  <c r="H146" i="28"/>
  <c r="J146" i="28" s="1"/>
  <c r="H145" i="28"/>
  <c r="L145" i="28" s="1"/>
  <c r="H144" i="28"/>
  <c r="L144" i="28" s="1"/>
  <c r="H143" i="28"/>
  <c r="H142" i="28"/>
  <c r="J142" i="28" s="1"/>
  <c r="H141" i="28"/>
  <c r="L141" i="28" s="1"/>
  <c r="H140" i="28"/>
  <c r="L140" i="28" s="1"/>
  <c r="H139" i="28"/>
  <c r="H138" i="28"/>
  <c r="J138" i="28" s="1"/>
  <c r="H137" i="28"/>
  <c r="L137" i="28" s="1"/>
  <c r="H136" i="28"/>
  <c r="L136" i="28" s="1"/>
  <c r="H135" i="28"/>
  <c r="H134" i="28"/>
  <c r="J134" i="28" s="1"/>
  <c r="H133" i="28"/>
  <c r="J133" i="28" s="1"/>
  <c r="H132" i="28"/>
  <c r="L132" i="28" s="1"/>
  <c r="H131" i="28"/>
  <c r="H130" i="28"/>
  <c r="J130" i="28" s="1"/>
  <c r="H129" i="28"/>
  <c r="L129" i="28" s="1"/>
  <c r="H128" i="28"/>
  <c r="L128" i="28" s="1"/>
  <c r="H127" i="28"/>
  <c r="H126" i="28"/>
  <c r="J126" i="28" s="1"/>
  <c r="H125" i="28"/>
  <c r="L125" i="28" s="1"/>
  <c r="H124" i="28"/>
  <c r="L124" i="28" s="1"/>
  <c r="H123" i="28"/>
  <c r="H122" i="28"/>
  <c r="J122" i="28" s="1"/>
  <c r="H121" i="28"/>
  <c r="L121" i="28" s="1"/>
  <c r="H120" i="28"/>
  <c r="L120" i="28" s="1"/>
  <c r="H119" i="28"/>
  <c r="H118" i="28"/>
  <c r="J118" i="28" s="1"/>
  <c r="H117" i="28"/>
  <c r="J117" i="28" s="1"/>
  <c r="H116" i="28"/>
  <c r="L116" i="28" s="1"/>
  <c r="H115" i="28"/>
  <c r="H114" i="28"/>
  <c r="J114" i="28" s="1"/>
  <c r="H113" i="28"/>
  <c r="L113" i="28" s="1"/>
  <c r="H112" i="28"/>
  <c r="L112" i="28" s="1"/>
  <c r="H111" i="28"/>
  <c r="H110" i="28"/>
  <c r="J110" i="28" s="1"/>
  <c r="H109" i="28"/>
  <c r="L109" i="28" s="1"/>
  <c r="H108" i="28"/>
  <c r="L108" i="28" s="1"/>
  <c r="H107" i="28"/>
  <c r="H106" i="28"/>
  <c r="J106" i="28" s="1"/>
  <c r="H105" i="28"/>
  <c r="L105" i="28" s="1"/>
  <c r="H104" i="28"/>
  <c r="L104" i="28" s="1"/>
  <c r="H103" i="28"/>
  <c r="J103" i="28" s="1"/>
  <c r="H102" i="28"/>
  <c r="L102" i="28" s="1"/>
  <c r="H101" i="28"/>
  <c r="L101" i="28" s="1"/>
  <c r="H100" i="28"/>
  <c r="H99" i="28"/>
  <c r="J99" i="28" s="1"/>
  <c r="H98" i="28"/>
  <c r="L98" i="28" s="1"/>
  <c r="H97" i="28"/>
  <c r="L97" i="28" s="1"/>
  <c r="H96" i="28"/>
  <c r="H95" i="28"/>
  <c r="J95" i="28" s="1"/>
  <c r="H94" i="28"/>
  <c r="L94" i="28" s="1"/>
  <c r="H93" i="28"/>
  <c r="L93" i="28" s="1"/>
  <c r="H92" i="28"/>
  <c r="H91" i="28"/>
  <c r="J91" i="28" s="1"/>
  <c r="H90" i="28"/>
  <c r="L90" i="28" s="1"/>
  <c r="H89" i="28"/>
  <c r="L89" i="28" s="1"/>
  <c r="H88" i="28"/>
  <c r="H87" i="28"/>
  <c r="J87" i="28" s="1"/>
  <c r="H86" i="28"/>
  <c r="L86" i="28" s="1"/>
  <c r="H85" i="28"/>
  <c r="L85" i="28" s="1"/>
  <c r="H84" i="28"/>
  <c r="H83" i="28"/>
  <c r="J83" i="28" s="1"/>
  <c r="H82" i="28"/>
  <c r="L82" i="28" s="1"/>
  <c r="H81" i="28"/>
  <c r="L81" i="28" s="1"/>
  <c r="H80" i="28"/>
  <c r="H79" i="28"/>
  <c r="J79" i="28" s="1"/>
  <c r="H78" i="28"/>
  <c r="L78" i="28" s="1"/>
  <c r="H77" i="28"/>
  <c r="L77" i="28" s="1"/>
  <c r="H76" i="28"/>
  <c r="H75" i="28"/>
  <c r="J75" i="28" s="1"/>
  <c r="H74" i="28"/>
  <c r="L74" i="28" s="1"/>
  <c r="H73" i="28"/>
  <c r="L73" i="28" s="1"/>
  <c r="H72" i="28"/>
  <c r="H71" i="28"/>
  <c r="J71" i="28" s="1"/>
  <c r="H70" i="28"/>
  <c r="L70" i="28" s="1"/>
  <c r="H69" i="28"/>
  <c r="L69" i="28" s="1"/>
  <c r="H68" i="28"/>
  <c r="H67" i="28"/>
  <c r="J67" i="28" s="1"/>
  <c r="H66" i="28"/>
  <c r="L66" i="28" s="1"/>
  <c r="H65" i="28"/>
  <c r="L65" i="28" s="1"/>
  <c r="H64" i="28"/>
  <c r="H63" i="28"/>
  <c r="J63" i="28" s="1"/>
  <c r="H62" i="28"/>
  <c r="L62" i="28" s="1"/>
  <c r="H61" i="28"/>
  <c r="L61" i="28" s="1"/>
  <c r="H60" i="28"/>
  <c r="H59" i="28"/>
  <c r="J59" i="28" s="1"/>
  <c r="H58" i="28"/>
  <c r="L58" i="28" s="1"/>
  <c r="H57" i="28"/>
  <c r="L57" i="28" s="1"/>
  <c r="H56" i="28"/>
  <c r="H55" i="28"/>
  <c r="J55" i="28" s="1"/>
  <c r="H54" i="28"/>
  <c r="L54" i="28" s="1"/>
  <c r="H53" i="28"/>
  <c r="L53" i="28" s="1"/>
  <c r="H52" i="28"/>
  <c r="H51" i="28"/>
  <c r="J51" i="28" s="1"/>
  <c r="H50" i="28"/>
  <c r="L50" i="28" s="1"/>
  <c r="H49" i="28"/>
  <c r="L49" i="28" s="1"/>
  <c r="H48" i="28"/>
  <c r="H47" i="28"/>
  <c r="J47" i="28" s="1"/>
  <c r="H46" i="28"/>
  <c r="L46" i="28" s="1"/>
  <c r="J45" i="28"/>
  <c r="H45" i="28"/>
  <c r="L45" i="28" s="1"/>
  <c r="H44" i="28"/>
  <c r="H43" i="28"/>
  <c r="J43" i="28" s="1"/>
  <c r="L42" i="28"/>
  <c r="H42" i="28"/>
  <c r="J42" i="28" s="1"/>
  <c r="H41" i="28"/>
  <c r="L41" i="28" s="1"/>
  <c r="H40" i="28"/>
  <c r="H39" i="28"/>
  <c r="J39" i="28" s="1"/>
  <c r="H38" i="28"/>
  <c r="L38" i="28" s="1"/>
  <c r="J37" i="28"/>
  <c r="H37" i="28"/>
  <c r="L37" i="28" s="1"/>
  <c r="H36" i="28"/>
  <c r="H35" i="28"/>
  <c r="J35" i="28" s="1"/>
  <c r="H34" i="28"/>
  <c r="L34" i="28" s="1"/>
  <c r="H33" i="28"/>
  <c r="L33" i="28" s="1"/>
  <c r="H32" i="28"/>
  <c r="H31" i="28"/>
  <c r="J31" i="28" s="1"/>
  <c r="H30" i="28"/>
  <c r="L30" i="28" s="1"/>
  <c r="J29" i="28"/>
  <c r="H29" i="28"/>
  <c r="L29" i="28" s="1"/>
  <c r="H28" i="28"/>
  <c r="H27" i="28"/>
  <c r="J27" i="28" s="1"/>
  <c r="L26" i="28"/>
  <c r="H26" i="28"/>
  <c r="J26" i="28" s="1"/>
  <c r="H25" i="28"/>
  <c r="L25" i="28" s="1"/>
  <c r="H24" i="28"/>
  <c r="H23" i="28"/>
  <c r="J23" i="28" s="1"/>
  <c r="H22" i="28"/>
  <c r="L22" i="28" s="1"/>
  <c r="H21" i="28"/>
  <c r="L21" i="28" s="1"/>
  <c r="H20" i="28"/>
  <c r="H19" i="28"/>
  <c r="J19" i="28" s="1"/>
  <c r="H18" i="28"/>
  <c r="L18" i="28" s="1"/>
  <c r="H17" i="28"/>
  <c r="L17" i="28" s="1"/>
  <c r="H16" i="28"/>
  <c r="H15" i="28"/>
  <c r="J15" i="28" s="1"/>
  <c r="H14" i="28"/>
  <c r="L14" i="28" s="1"/>
  <c r="H13" i="28"/>
  <c r="J13" i="28" s="1"/>
  <c r="H12" i="28"/>
  <c r="L12" i="28" s="1"/>
  <c r="H11" i="28"/>
  <c r="L11" i="28" s="1"/>
  <c r="H10" i="28"/>
  <c r="L10" i="28" s="1"/>
  <c r="H9" i="28"/>
  <c r="J9" i="28" s="1"/>
  <c r="H8" i="28"/>
  <c r="L8" i="28" s="1"/>
  <c r="H7" i="28"/>
  <c r="L7" i="28" s="1"/>
  <c r="H6" i="28"/>
  <c r="L6" i="28" s="1"/>
  <c r="L5" i="28"/>
  <c r="H5" i="28"/>
  <c r="J5" i="28" s="1"/>
  <c r="H4" i="28"/>
  <c r="L4" i="28" s="1"/>
  <c r="H3" i="28"/>
  <c r="L3" i="28" s="1"/>
  <c r="H2" i="28"/>
  <c r="L2" i="28" s="1"/>
  <c r="J21" i="28" l="1"/>
  <c r="J17" i="28"/>
  <c r="J33" i="28"/>
  <c r="J53" i="28"/>
  <c r="J82" i="28"/>
  <c r="J85" i="28"/>
  <c r="L118" i="28"/>
  <c r="J121" i="28"/>
  <c r="L174" i="28"/>
  <c r="J177" i="28"/>
  <c r="J145" i="28"/>
  <c r="J66" i="28"/>
  <c r="J69" i="28"/>
  <c r="J98" i="28"/>
  <c r="J101" i="28"/>
  <c r="L161" i="28"/>
  <c r="L13" i="28"/>
  <c r="J22" i="28"/>
  <c r="J30" i="28"/>
  <c r="J38" i="28"/>
  <c r="J46" i="28"/>
  <c r="J54" i="28"/>
  <c r="L133" i="28"/>
  <c r="L150" i="28"/>
  <c r="J153" i="28"/>
  <c r="J49" i="28"/>
  <c r="J58" i="28"/>
  <c r="J61" i="28"/>
  <c r="J74" i="28"/>
  <c r="J77" i="28"/>
  <c r="J90" i="28"/>
  <c r="J93" i="28"/>
  <c r="L110" i="28"/>
  <c r="J113" i="28"/>
  <c r="L142" i="28"/>
  <c r="L165" i="28"/>
  <c r="L9" i="28"/>
  <c r="J18" i="28"/>
  <c r="J25" i="28"/>
  <c r="J34" i="28"/>
  <c r="J41" i="28"/>
  <c r="J50" i="28"/>
  <c r="J57" i="28"/>
  <c r="J62" i="28"/>
  <c r="J65" i="28"/>
  <c r="J70" i="28"/>
  <c r="J73" i="28"/>
  <c r="J78" i="28"/>
  <c r="J81" i="28"/>
  <c r="J86" i="28"/>
  <c r="J89" i="28"/>
  <c r="J94" i="28"/>
  <c r="J97" i="28"/>
  <c r="J102" i="28"/>
  <c r="J105" i="28"/>
  <c r="L134" i="28"/>
  <c r="J137" i="28"/>
  <c r="L181" i="28"/>
  <c r="L117" i="28"/>
  <c r="L126" i="28"/>
  <c r="J129" i="28"/>
  <c r="L149" i="28"/>
  <c r="L158" i="28"/>
  <c r="L166" i="28"/>
  <c r="J169" i="28"/>
  <c r="J4" i="28"/>
  <c r="J8" i="28"/>
  <c r="J12" i="28"/>
  <c r="L106" i="28"/>
  <c r="J109" i="28"/>
  <c r="L122" i="28"/>
  <c r="J125" i="28"/>
  <c r="L138" i="28"/>
  <c r="J141" i="28"/>
  <c r="L154" i="28"/>
  <c r="J157" i="28"/>
  <c r="L170" i="28"/>
  <c r="J173" i="28"/>
  <c r="L182" i="28"/>
  <c r="J3" i="28"/>
  <c r="J7" i="28"/>
  <c r="J11" i="28"/>
  <c r="L15" i="28"/>
  <c r="L19" i="28"/>
  <c r="L23" i="28"/>
  <c r="L27" i="28"/>
  <c r="L31" i="28"/>
  <c r="L35" i="28"/>
  <c r="L39" i="28"/>
  <c r="L43" i="28"/>
  <c r="L47" i="28"/>
  <c r="L51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103" i="28"/>
  <c r="L114" i="28"/>
  <c r="L130" i="28"/>
  <c r="L146" i="28"/>
  <c r="L162" i="28"/>
  <c r="L178" i="28"/>
  <c r="J2" i="28"/>
  <c r="J6" i="28"/>
  <c r="J10" i="28"/>
  <c r="J14" i="28"/>
  <c r="L16" i="28"/>
  <c r="J16" i="28"/>
  <c r="L20" i="28"/>
  <c r="J20" i="28"/>
  <c r="L24" i="28"/>
  <c r="J24" i="28"/>
  <c r="L28" i="28"/>
  <c r="J28" i="28"/>
  <c r="L32" i="28"/>
  <c r="J32" i="28"/>
  <c r="L36" i="28"/>
  <c r="J36" i="28"/>
  <c r="L40" i="28"/>
  <c r="J40" i="28"/>
  <c r="L44" i="28"/>
  <c r="J44" i="28"/>
  <c r="L48" i="28"/>
  <c r="J48" i="28"/>
  <c r="L52" i="28"/>
  <c r="J52" i="28"/>
  <c r="L56" i="28"/>
  <c r="J56" i="28"/>
  <c r="L60" i="28"/>
  <c r="J60" i="28"/>
  <c r="L64" i="28"/>
  <c r="J64" i="28"/>
  <c r="L68" i="28"/>
  <c r="J68" i="28"/>
  <c r="L72" i="28"/>
  <c r="J72" i="28"/>
  <c r="L76" i="28"/>
  <c r="J76" i="28"/>
  <c r="L80" i="28"/>
  <c r="J80" i="28"/>
  <c r="L84" i="28"/>
  <c r="J84" i="28"/>
  <c r="L88" i="28"/>
  <c r="J88" i="28"/>
  <c r="L92" i="28"/>
  <c r="J92" i="28"/>
  <c r="L96" i="28"/>
  <c r="J96" i="28"/>
  <c r="L100" i="28"/>
  <c r="J100" i="28"/>
  <c r="J108" i="28"/>
  <c r="J112" i="28"/>
  <c r="J116" i="28"/>
  <c r="J120" i="28"/>
  <c r="J124" i="28"/>
  <c r="J128" i="28"/>
  <c r="J132" i="28"/>
  <c r="J136" i="28"/>
  <c r="J140" i="28"/>
  <c r="J144" i="28"/>
  <c r="J148" i="28"/>
  <c r="J152" i="28"/>
  <c r="J156" i="28"/>
  <c r="J160" i="28"/>
  <c r="J164" i="28"/>
  <c r="J168" i="28"/>
  <c r="J172" i="28"/>
  <c r="J176" i="28"/>
  <c r="J180" i="28"/>
  <c r="L107" i="28"/>
  <c r="J107" i="28"/>
  <c r="L111" i="28"/>
  <c r="J111" i="28"/>
  <c r="L115" i="28"/>
  <c r="J115" i="28"/>
  <c r="L119" i="28"/>
  <c r="J119" i="28"/>
  <c r="L123" i="28"/>
  <c r="J123" i="28"/>
  <c r="L127" i="28"/>
  <c r="J127" i="28"/>
  <c r="L131" i="28"/>
  <c r="J131" i="28"/>
  <c r="L135" i="28"/>
  <c r="J135" i="28"/>
  <c r="L139" i="28"/>
  <c r="J139" i="28"/>
  <c r="L143" i="28"/>
  <c r="J143" i="28"/>
  <c r="L147" i="28"/>
  <c r="J147" i="28"/>
  <c r="L151" i="28"/>
  <c r="J151" i="28"/>
  <c r="L155" i="28"/>
  <c r="J155" i="28"/>
  <c r="L159" i="28"/>
  <c r="J159" i="28"/>
  <c r="L163" i="28"/>
  <c r="J163" i="28"/>
  <c r="L167" i="28"/>
  <c r="J167" i="28"/>
  <c r="L171" i="28"/>
  <c r="J171" i="28"/>
  <c r="L175" i="28"/>
  <c r="J175" i="28"/>
  <c r="L179" i="28"/>
  <c r="J179" i="28"/>
  <c r="L183" i="28"/>
  <c r="J183" i="28"/>
  <c r="H183" i="26" l="1"/>
  <c r="L183" i="26" s="1"/>
  <c r="H182" i="26"/>
  <c r="J182" i="26" s="1"/>
  <c r="L181" i="26"/>
  <c r="J181" i="26"/>
  <c r="H181" i="26"/>
  <c r="H180" i="26"/>
  <c r="H179" i="26"/>
  <c r="L179" i="26" s="1"/>
  <c r="L178" i="26"/>
  <c r="H178" i="26"/>
  <c r="J178" i="26" s="1"/>
  <c r="L177" i="26"/>
  <c r="J177" i="26"/>
  <c r="H177" i="26"/>
  <c r="H176" i="26"/>
  <c r="H175" i="26"/>
  <c r="L175" i="26" s="1"/>
  <c r="L174" i="26"/>
  <c r="H174" i="26"/>
  <c r="J174" i="26" s="1"/>
  <c r="H173" i="26"/>
  <c r="L173" i="26" s="1"/>
  <c r="H172" i="26"/>
  <c r="H171" i="26"/>
  <c r="L171" i="26" s="1"/>
  <c r="H170" i="26"/>
  <c r="J170" i="26" s="1"/>
  <c r="H169" i="26"/>
  <c r="L169" i="26" s="1"/>
  <c r="H168" i="26"/>
  <c r="H167" i="26"/>
  <c r="L167" i="26" s="1"/>
  <c r="H166" i="26"/>
  <c r="J166" i="26" s="1"/>
  <c r="H165" i="26"/>
  <c r="L165" i="26" s="1"/>
  <c r="H164" i="26"/>
  <c r="H163" i="26"/>
  <c r="L163" i="26" s="1"/>
  <c r="H162" i="26"/>
  <c r="J162" i="26" s="1"/>
  <c r="H161" i="26"/>
  <c r="L161" i="26" s="1"/>
  <c r="H160" i="26"/>
  <c r="H159" i="26"/>
  <c r="L159" i="26" s="1"/>
  <c r="H158" i="26"/>
  <c r="J158" i="26" s="1"/>
  <c r="J157" i="26"/>
  <c r="H157" i="26"/>
  <c r="L157" i="26" s="1"/>
  <c r="H156" i="26"/>
  <c r="H155" i="26"/>
  <c r="L155" i="26" s="1"/>
  <c r="H154" i="26"/>
  <c r="J154" i="26" s="1"/>
  <c r="H153" i="26"/>
  <c r="L153" i="26" s="1"/>
  <c r="H152" i="26"/>
  <c r="H151" i="26"/>
  <c r="L151" i="26" s="1"/>
  <c r="H150" i="26"/>
  <c r="J150" i="26" s="1"/>
  <c r="H149" i="26"/>
  <c r="L149" i="26" s="1"/>
  <c r="H148" i="26"/>
  <c r="J147" i="26"/>
  <c r="H147" i="26"/>
  <c r="L147" i="26" s="1"/>
  <c r="H146" i="26"/>
  <c r="J146" i="26" s="1"/>
  <c r="H145" i="26"/>
  <c r="L145" i="26" s="1"/>
  <c r="H144" i="26"/>
  <c r="H143" i="26"/>
  <c r="L143" i="26" s="1"/>
  <c r="H142" i="26"/>
  <c r="J142" i="26" s="1"/>
  <c r="H141" i="26"/>
  <c r="L141" i="26" s="1"/>
  <c r="H140" i="26"/>
  <c r="H139" i="26"/>
  <c r="L139" i="26" s="1"/>
  <c r="H138" i="26"/>
  <c r="J138" i="26" s="1"/>
  <c r="H137" i="26"/>
  <c r="L137" i="26" s="1"/>
  <c r="H136" i="26"/>
  <c r="H135" i="26"/>
  <c r="L135" i="26" s="1"/>
  <c r="H134" i="26"/>
  <c r="J134" i="26" s="1"/>
  <c r="H133" i="26"/>
  <c r="L133" i="26" s="1"/>
  <c r="H132" i="26"/>
  <c r="J131" i="26"/>
  <c r="H131" i="26"/>
  <c r="L131" i="26" s="1"/>
  <c r="H130" i="26"/>
  <c r="J130" i="26" s="1"/>
  <c r="H129" i="26"/>
  <c r="L129" i="26" s="1"/>
  <c r="H128" i="26"/>
  <c r="H127" i="26"/>
  <c r="L127" i="26" s="1"/>
  <c r="H126" i="26"/>
  <c r="J126" i="26" s="1"/>
  <c r="H125" i="26"/>
  <c r="L125" i="26" s="1"/>
  <c r="H124" i="26"/>
  <c r="J123" i="26"/>
  <c r="H123" i="26"/>
  <c r="L123" i="26" s="1"/>
  <c r="L122" i="26"/>
  <c r="H122" i="26"/>
  <c r="J122" i="26" s="1"/>
  <c r="H121" i="26"/>
  <c r="L121" i="26" s="1"/>
  <c r="H120" i="26"/>
  <c r="H119" i="26"/>
  <c r="L119" i="26" s="1"/>
  <c r="H118" i="26"/>
  <c r="J118" i="26" s="1"/>
  <c r="H117" i="26"/>
  <c r="L117" i="26" s="1"/>
  <c r="H116" i="26"/>
  <c r="H115" i="26"/>
  <c r="L115" i="26" s="1"/>
  <c r="H114" i="26"/>
  <c r="J114" i="26" s="1"/>
  <c r="H113" i="26"/>
  <c r="L113" i="26" s="1"/>
  <c r="H112" i="26"/>
  <c r="H111" i="26"/>
  <c r="L111" i="26" s="1"/>
  <c r="H110" i="26"/>
  <c r="J110" i="26" s="1"/>
  <c r="H109" i="26"/>
  <c r="L109" i="26" s="1"/>
  <c r="H108" i="26"/>
  <c r="J107" i="26"/>
  <c r="H107" i="26"/>
  <c r="L107" i="26" s="1"/>
  <c r="H106" i="26"/>
  <c r="J106" i="26" s="1"/>
  <c r="J105" i="26"/>
  <c r="H105" i="26"/>
  <c r="L105" i="26" s="1"/>
  <c r="H104" i="26"/>
  <c r="L104" i="26" s="1"/>
  <c r="L103" i="26"/>
  <c r="H103" i="26"/>
  <c r="J103" i="26" s="1"/>
  <c r="H102" i="26"/>
  <c r="L102" i="26" s="1"/>
  <c r="H101" i="26"/>
  <c r="H100" i="26"/>
  <c r="L100" i="26" s="1"/>
  <c r="H99" i="26"/>
  <c r="J99" i="26" s="1"/>
  <c r="H98" i="26"/>
  <c r="L98" i="26" s="1"/>
  <c r="H97" i="26"/>
  <c r="J96" i="26"/>
  <c r="H96" i="26"/>
  <c r="L96" i="26" s="1"/>
  <c r="H95" i="26"/>
  <c r="J95" i="26" s="1"/>
  <c r="H94" i="26"/>
  <c r="L94" i="26" s="1"/>
  <c r="H93" i="26"/>
  <c r="H92" i="26"/>
  <c r="L92" i="26" s="1"/>
  <c r="H91" i="26"/>
  <c r="J91" i="26" s="1"/>
  <c r="H90" i="26"/>
  <c r="L90" i="26" s="1"/>
  <c r="H89" i="26"/>
  <c r="J88" i="26"/>
  <c r="H88" i="26"/>
  <c r="L88" i="26" s="1"/>
  <c r="H87" i="26"/>
  <c r="J87" i="26" s="1"/>
  <c r="J86" i="26"/>
  <c r="H86" i="26"/>
  <c r="L86" i="26" s="1"/>
  <c r="H85" i="26"/>
  <c r="H84" i="26"/>
  <c r="L84" i="26" s="1"/>
  <c r="H83" i="26"/>
  <c r="J83" i="26" s="1"/>
  <c r="H82" i="26"/>
  <c r="L82" i="26" s="1"/>
  <c r="H81" i="26"/>
  <c r="H80" i="26"/>
  <c r="L80" i="26" s="1"/>
  <c r="L79" i="26"/>
  <c r="H79" i="26"/>
  <c r="J79" i="26" s="1"/>
  <c r="H78" i="26"/>
  <c r="L78" i="26" s="1"/>
  <c r="H77" i="26"/>
  <c r="H76" i="26"/>
  <c r="L76" i="26" s="1"/>
  <c r="H75" i="26"/>
  <c r="J75" i="26" s="1"/>
  <c r="H74" i="26"/>
  <c r="L74" i="26" s="1"/>
  <c r="H73" i="26"/>
  <c r="H72" i="26"/>
  <c r="L72" i="26" s="1"/>
  <c r="L71" i="26"/>
  <c r="H71" i="26"/>
  <c r="J71" i="26" s="1"/>
  <c r="H70" i="26"/>
  <c r="L70" i="26" s="1"/>
  <c r="H69" i="26"/>
  <c r="H68" i="26"/>
  <c r="L68" i="26" s="1"/>
  <c r="H67" i="26"/>
  <c r="J67" i="26" s="1"/>
  <c r="H66" i="26"/>
  <c r="L66" i="26" s="1"/>
  <c r="H65" i="26"/>
  <c r="H64" i="26"/>
  <c r="L64" i="26" s="1"/>
  <c r="H63" i="26"/>
  <c r="J63" i="26" s="1"/>
  <c r="H62" i="26"/>
  <c r="L62" i="26" s="1"/>
  <c r="H61" i="26"/>
  <c r="H60" i="26"/>
  <c r="L60" i="26" s="1"/>
  <c r="H59" i="26"/>
  <c r="J59" i="26" s="1"/>
  <c r="H58" i="26"/>
  <c r="L58" i="26" s="1"/>
  <c r="H57" i="26"/>
  <c r="J56" i="26"/>
  <c r="H56" i="26"/>
  <c r="L56" i="26" s="1"/>
  <c r="H55" i="26"/>
  <c r="J55" i="26" s="1"/>
  <c r="J54" i="26"/>
  <c r="H54" i="26"/>
  <c r="L54" i="26" s="1"/>
  <c r="H53" i="26"/>
  <c r="H52" i="26"/>
  <c r="L52" i="26" s="1"/>
  <c r="H51" i="26"/>
  <c r="J51" i="26" s="1"/>
  <c r="H50" i="26"/>
  <c r="L50" i="26" s="1"/>
  <c r="H49" i="26"/>
  <c r="H48" i="26"/>
  <c r="L48" i="26" s="1"/>
  <c r="H47" i="26"/>
  <c r="J47" i="26" s="1"/>
  <c r="H46" i="26"/>
  <c r="L46" i="26" s="1"/>
  <c r="H45" i="26"/>
  <c r="H44" i="26"/>
  <c r="L44" i="26" s="1"/>
  <c r="H43" i="26"/>
  <c r="J43" i="26" s="1"/>
  <c r="H42" i="26"/>
  <c r="L42" i="26" s="1"/>
  <c r="H41" i="26"/>
  <c r="H40" i="26"/>
  <c r="L40" i="26" s="1"/>
  <c r="L39" i="26"/>
  <c r="H39" i="26"/>
  <c r="J39" i="26" s="1"/>
  <c r="H38" i="26"/>
  <c r="L38" i="26" s="1"/>
  <c r="H37" i="26"/>
  <c r="H36" i="26"/>
  <c r="L36" i="26" s="1"/>
  <c r="H35" i="26"/>
  <c r="J35" i="26" s="1"/>
  <c r="H34" i="26"/>
  <c r="L34" i="26" s="1"/>
  <c r="H33" i="26"/>
  <c r="J32" i="26"/>
  <c r="H32" i="26"/>
  <c r="L32" i="26" s="1"/>
  <c r="H31" i="26"/>
  <c r="J31" i="26" s="1"/>
  <c r="H30" i="26"/>
  <c r="L30" i="26" s="1"/>
  <c r="H29" i="26"/>
  <c r="H28" i="26"/>
  <c r="L28" i="26" s="1"/>
  <c r="H27" i="26"/>
  <c r="J27" i="26" s="1"/>
  <c r="H26" i="26"/>
  <c r="L26" i="26" s="1"/>
  <c r="H25" i="26"/>
  <c r="J24" i="26"/>
  <c r="H24" i="26"/>
  <c r="L24" i="26" s="1"/>
  <c r="H23" i="26"/>
  <c r="J23" i="26" s="1"/>
  <c r="J22" i="26"/>
  <c r="H22" i="26"/>
  <c r="L22" i="26" s="1"/>
  <c r="H21" i="26"/>
  <c r="H20" i="26"/>
  <c r="L20" i="26" s="1"/>
  <c r="H19" i="26"/>
  <c r="J19" i="26" s="1"/>
  <c r="H18" i="26"/>
  <c r="L18" i="26" s="1"/>
  <c r="H17" i="26"/>
  <c r="J17" i="26" s="1"/>
  <c r="H16" i="26"/>
  <c r="L16" i="26" s="1"/>
  <c r="H15" i="26"/>
  <c r="J15" i="26" s="1"/>
  <c r="H14" i="26"/>
  <c r="L14" i="26" s="1"/>
  <c r="H13" i="26"/>
  <c r="J13" i="26" s="1"/>
  <c r="H12" i="26"/>
  <c r="L12" i="26" s="1"/>
  <c r="H11" i="26"/>
  <c r="J11" i="26" s="1"/>
  <c r="L10" i="26"/>
  <c r="H10" i="26"/>
  <c r="J10" i="26" s="1"/>
  <c r="H9" i="26"/>
  <c r="J9" i="26" s="1"/>
  <c r="H8" i="26"/>
  <c r="L8" i="26" s="1"/>
  <c r="H7" i="26"/>
  <c r="J7" i="26" s="1"/>
  <c r="H6" i="26"/>
  <c r="J6" i="26" s="1"/>
  <c r="H5" i="26"/>
  <c r="J5" i="26" s="1"/>
  <c r="H4" i="26"/>
  <c r="L4" i="26" s="1"/>
  <c r="H3" i="26"/>
  <c r="J3" i="26" s="1"/>
  <c r="H2" i="26"/>
  <c r="L2" i="26" s="1"/>
  <c r="L6" i="26" l="1"/>
  <c r="J30" i="26"/>
  <c r="L47" i="26"/>
  <c r="J62" i="26"/>
  <c r="J64" i="26"/>
  <c r="J94" i="26"/>
  <c r="J113" i="26"/>
  <c r="J115" i="26"/>
  <c r="J16" i="26"/>
  <c r="L31" i="26"/>
  <c r="J46" i="26"/>
  <c r="J48" i="26"/>
  <c r="L63" i="26"/>
  <c r="J78" i="26"/>
  <c r="J80" i="26"/>
  <c r="L95" i="26"/>
  <c r="L114" i="26"/>
  <c r="J129" i="26"/>
  <c r="J135" i="26"/>
  <c r="L138" i="26"/>
  <c r="J145" i="26"/>
  <c r="J151" i="26"/>
  <c r="L154" i="26"/>
  <c r="L3" i="26"/>
  <c r="L11" i="26"/>
  <c r="J14" i="26"/>
  <c r="L23" i="26"/>
  <c r="J38" i="26"/>
  <c r="J40" i="26"/>
  <c r="L55" i="26"/>
  <c r="J70" i="26"/>
  <c r="J72" i="26"/>
  <c r="L87" i="26"/>
  <c r="J102" i="26"/>
  <c r="L106" i="26"/>
  <c r="J121" i="26"/>
  <c r="J169" i="26"/>
  <c r="J2" i="26"/>
  <c r="J18" i="26"/>
  <c r="J20" i="26"/>
  <c r="L27" i="26"/>
  <c r="J34" i="26"/>
  <c r="J36" i="26"/>
  <c r="L43" i="26"/>
  <c r="J50" i="26"/>
  <c r="J52" i="26"/>
  <c r="L59" i="26"/>
  <c r="J66" i="26"/>
  <c r="J68" i="26"/>
  <c r="L75" i="26"/>
  <c r="J82" i="26"/>
  <c r="J84" i="26"/>
  <c r="L91" i="26"/>
  <c r="J98" i="26"/>
  <c r="J100" i="26"/>
  <c r="J109" i="26"/>
  <c r="J111" i="26"/>
  <c r="L118" i="26"/>
  <c r="J125" i="26"/>
  <c r="J127" i="26"/>
  <c r="L134" i="26"/>
  <c r="J141" i="26"/>
  <c r="J143" i="26"/>
  <c r="L150" i="26"/>
  <c r="L162" i="26"/>
  <c r="J165" i="26"/>
  <c r="L170" i="26"/>
  <c r="J173" i="26"/>
  <c r="L130" i="26"/>
  <c r="J137" i="26"/>
  <c r="J139" i="26"/>
  <c r="L146" i="26"/>
  <c r="J153" i="26"/>
  <c r="L158" i="26"/>
  <c r="J161" i="26"/>
  <c r="L182" i="26"/>
  <c r="L7" i="26"/>
  <c r="L19" i="26"/>
  <c r="J26" i="26"/>
  <c r="J28" i="26"/>
  <c r="L35" i="26"/>
  <c r="J42" i="26"/>
  <c r="J44" i="26"/>
  <c r="L51" i="26"/>
  <c r="J58" i="26"/>
  <c r="J60" i="26"/>
  <c r="L67" i="26"/>
  <c r="J74" i="26"/>
  <c r="J76" i="26"/>
  <c r="L83" i="26"/>
  <c r="J90" i="26"/>
  <c r="J92" i="26"/>
  <c r="L99" i="26"/>
  <c r="L110" i="26"/>
  <c r="J117" i="26"/>
  <c r="J119" i="26"/>
  <c r="L126" i="26"/>
  <c r="J133" i="26"/>
  <c r="L142" i="26"/>
  <c r="J149" i="26"/>
  <c r="L166" i="26"/>
  <c r="L29" i="26"/>
  <c r="J29" i="26"/>
  <c r="L61" i="26"/>
  <c r="J61" i="26"/>
  <c r="L93" i="26"/>
  <c r="J93" i="26"/>
  <c r="L120" i="26"/>
  <c r="J120" i="26"/>
  <c r="L160" i="26"/>
  <c r="J160" i="26"/>
  <c r="L41" i="26"/>
  <c r="J41" i="26"/>
  <c r="L73" i="26"/>
  <c r="J73" i="26"/>
  <c r="L132" i="26"/>
  <c r="J132" i="26"/>
  <c r="L148" i="26"/>
  <c r="J148" i="26"/>
  <c r="L168" i="26"/>
  <c r="J168" i="26"/>
  <c r="L180" i="26"/>
  <c r="J180" i="26"/>
  <c r="J4" i="26"/>
  <c r="L5" i="26"/>
  <c r="J8" i="26"/>
  <c r="L9" i="26"/>
  <c r="J12" i="26"/>
  <c r="L13" i="26"/>
  <c r="L21" i="26"/>
  <c r="J21" i="26"/>
  <c r="L37" i="26"/>
  <c r="J37" i="26"/>
  <c r="L53" i="26"/>
  <c r="J53" i="26"/>
  <c r="L69" i="26"/>
  <c r="J69" i="26"/>
  <c r="L85" i="26"/>
  <c r="J85" i="26"/>
  <c r="L101" i="26"/>
  <c r="J101" i="26"/>
  <c r="L112" i="26"/>
  <c r="J112" i="26"/>
  <c r="L128" i="26"/>
  <c r="J128" i="26"/>
  <c r="L144" i="26"/>
  <c r="J144" i="26"/>
  <c r="L156" i="26"/>
  <c r="J156" i="26"/>
  <c r="L176" i="26"/>
  <c r="J176" i="26"/>
  <c r="L45" i="26"/>
  <c r="J45" i="26"/>
  <c r="L77" i="26"/>
  <c r="J77" i="26"/>
  <c r="L136" i="26"/>
  <c r="J136" i="26"/>
  <c r="L152" i="26"/>
  <c r="J152" i="26"/>
  <c r="L25" i="26"/>
  <c r="J25" i="26"/>
  <c r="L57" i="26"/>
  <c r="J57" i="26"/>
  <c r="L89" i="26"/>
  <c r="J89" i="26"/>
  <c r="L116" i="26"/>
  <c r="J116" i="26"/>
  <c r="L15" i="26"/>
  <c r="L17" i="26"/>
  <c r="L33" i="26"/>
  <c r="J33" i="26"/>
  <c r="L49" i="26"/>
  <c r="J49" i="26"/>
  <c r="L65" i="26"/>
  <c r="J65" i="26"/>
  <c r="L81" i="26"/>
  <c r="J81" i="26"/>
  <c r="L97" i="26"/>
  <c r="J97" i="26"/>
  <c r="L108" i="26"/>
  <c r="J108" i="26"/>
  <c r="L124" i="26"/>
  <c r="J124" i="26"/>
  <c r="L140" i="26"/>
  <c r="J140" i="26"/>
  <c r="L164" i="26"/>
  <c r="J164" i="26"/>
  <c r="L172" i="26"/>
  <c r="J172" i="26"/>
  <c r="J155" i="26"/>
  <c r="J159" i="26"/>
  <c r="J163" i="26"/>
  <c r="J167" i="26"/>
  <c r="J171" i="26"/>
  <c r="J175" i="26"/>
  <c r="J179" i="26"/>
  <c r="J183" i="26"/>
  <c r="H183" i="27"/>
  <c r="L183" i="27" s="1"/>
  <c r="H182" i="27"/>
  <c r="H181" i="27"/>
  <c r="L181" i="27" s="1"/>
  <c r="H180" i="27"/>
  <c r="L180" i="27" s="1"/>
  <c r="H179" i="27"/>
  <c r="L179" i="27" s="1"/>
  <c r="H178" i="27"/>
  <c r="H177" i="27"/>
  <c r="L177" i="27" s="1"/>
  <c r="H176" i="27"/>
  <c r="L176" i="27" s="1"/>
  <c r="H175" i="27"/>
  <c r="L175" i="27" s="1"/>
  <c r="H174" i="27"/>
  <c r="H173" i="27"/>
  <c r="L173" i="27" s="1"/>
  <c r="H172" i="27"/>
  <c r="L172" i="27" s="1"/>
  <c r="H171" i="27"/>
  <c r="H170" i="27"/>
  <c r="L170" i="27" s="1"/>
  <c r="H169" i="27"/>
  <c r="L169" i="27" s="1"/>
  <c r="H168" i="27"/>
  <c r="L168" i="27" s="1"/>
  <c r="H167" i="27"/>
  <c r="H166" i="27"/>
  <c r="L166" i="27" s="1"/>
  <c r="H165" i="27"/>
  <c r="L165" i="27" s="1"/>
  <c r="H164" i="27"/>
  <c r="L164" i="27" s="1"/>
  <c r="H163" i="27"/>
  <c r="H162" i="27"/>
  <c r="H161" i="27"/>
  <c r="L161" i="27" s="1"/>
  <c r="H160" i="27"/>
  <c r="L160" i="27" s="1"/>
  <c r="H159" i="27"/>
  <c r="H158" i="27"/>
  <c r="H157" i="27"/>
  <c r="L157" i="27" s="1"/>
  <c r="H156" i="27"/>
  <c r="L156" i="27" s="1"/>
  <c r="H155" i="27"/>
  <c r="H154" i="27"/>
  <c r="H153" i="27"/>
  <c r="L153" i="27" s="1"/>
  <c r="H152" i="27"/>
  <c r="L152" i="27" s="1"/>
  <c r="H151" i="27"/>
  <c r="H150" i="27"/>
  <c r="H149" i="27"/>
  <c r="L149" i="27" s="1"/>
  <c r="H148" i="27"/>
  <c r="L148" i="27" s="1"/>
  <c r="H147" i="27"/>
  <c r="H146" i="27"/>
  <c r="H145" i="27"/>
  <c r="L145" i="27" s="1"/>
  <c r="H144" i="27"/>
  <c r="L144" i="27" s="1"/>
  <c r="H143" i="27"/>
  <c r="H142" i="27"/>
  <c r="H141" i="27"/>
  <c r="L141" i="27" s="1"/>
  <c r="H140" i="27"/>
  <c r="L140" i="27" s="1"/>
  <c r="H139" i="27"/>
  <c r="H138" i="27"/>
  <c r="H137" i="27"/>
  <c r="L137" i="27" s="1"/>
  <c r="H136" i="27"/>
  <c r="L136" i="27" s="1"/>
  <c r="H135" i="27"/>
  <c r="H134" i="27"/>
  <c r="H133" i="27"/>
  <c r="L133" i="27" s="1"/>
  <c r="H132" i="27"/>
  <c r="L132" i="27" s="1"/>
  <c r="H131" i="27"/>
  <c r="H130" i="27"/>
  <c r="H129" i="27"/>
  <c r="L129" i="27" s="1"/>
  <c r="H128" i="27"/>
  <c r="L128" i="27" s="1"/>
  <c r="H127" i="27"/>
  <c r="H126" i="27"/>
  <c r="H125" i="27"/>
  <c r="L125" i="27" s="1"/>
  <c r="H124" i="27"/>
  <c r="L124" i="27" s="1"/>
  <c r="H123" i="27"/>
  <c r="H122" i="27"/>
  <c r="H121" i="27"/>
  <c r="L121" i="27" s="1"/>
  <c r="H120" i="27"/>
  <c r="L120" i="27" s="1"/>
  <c r="H119" i="27"/>
  <c r="H118" i="27"/>
  <c r="H117" i="27"/>
  <c r="L117" i="27" s="1"/>
  <c r="H116" i="27"/>
  <c r="L116" i="27" s="1"/>
  <c r="H115" i="27"/>
  <c r="H114" i="27"/>
  <c r="H113" i="27"/>
  <c r="L113" i="27" s="1"/>
  <c r="H112" i="27"/>
  <c r="L112" i="27" s="1"/>
  <c r="H111" i="27"/>
  <c r="H110" i="27"/>
  <c r="H109" i="27"/>
  <c r="L109" i="27" s="1"/>
  <c r="H108" i="27"/>
  <c r="L108" i="27" s="1"/>
  <c r="H107" i="27"/>
  <c r="H106" i="27"/>
  <c r="H105" i="27"/>
  <c r="L105" i="27" s="1"/>
  <c r="H104" i="27"/>
  <c r="L104" i="27" s="1"/>
  <c r="H103" i="27"/>
  <c r="L103" i="27" s="1"/>
  <c r="H102" i="27"/>
  <c r="L102" i="27" s="1"/>
  <c r="H101" i="27"/>
  <c r="L101" i="27" s="1"/>
  <c r="H100" i="27"/>
  <c r="H99" i="27"/>
  <c r="L99" i="27" s="1"/>
  <c r="H98" i="27"/>
  <c r="L98" i="27" s="1"/>
  <c r="H97" i="27"/>
  <c r="L97" i="27" s="1"/>
  <c r="H96" i="27"/>
  <c r="H95" i="27"/>
  <c r="L95" i="27" s="1"/>
  <c r="H94" i="27"/>
  <c r="L94" i="27" s="1"/>
  <c r="H93" i="27"/>
  <c r="L93" i="27" s="1"/>
  <c r="H92" i="27"/>
  <c r="H91" i="27"/>
  <c r="L91" i="27" s="1"/>
  <c r="H90" i="27"/>
  <c r="L90" i="27" s="1"/>
  <c r="H89" i="27"/>
  <c r="L89" i="27" s="1"/>
  <c r="H88" i="27"/>
  <c r="H87" i="27"/>
  <c r="L87" i="27" s="1"/>
  <c r="H86" i="27"/>
  <c r="L86" i="27" s="1"/>
  <c r="H85" i="27"/>
  <c r="L85" i="27" s="1"/>
  <c r="H84" i="27"/>
  <c r="H83" i="27"/>
  <c r="L83" i="27" s="1"/>
  <c r="H82" i="27"/>
  <c r="L82" i="27" s="1"/>
  <c r="H81" i="27"/>
  <c r="L81" i="27" s="1"/>
  <c r="H80" i="27"/>
  <c r="H79" i="27"/>
  <c r="L79" i="27" s="1"/>
  <c r="H78" i="27"/>
  <c r="L78" i="27" s="1"/>
  <c r="H77" i="27"/>
  <c r="L77" i="27" s="1"/>
  <c r="H76" i="27"/>
  <c r="H75" i="27"/>
  <c r="L75" i="27" s="1"/>
  <c r="H74" i="27"/>
  <c r="L74" i="27" s="1"/>
  <c r="H73" i="27"/>
  <c r="L73" i="27" s="1"/>
  <c r="H72" i="27"/>
  <c r="H71" i="27"/>
  <c r="L71" i="27" s="1"/>
  <c r="H70" i="27"/>
  <c r="L70" i="27" s="1"/>
  <c r="H69" i="27"/>
  <c r="L69" i="27" s="1"/>
  <c r="H68" i="27"/>
  <c r="H67" i="27"/>
  <c r="L67" i="27" s="1"/>
  <c r="H66" i="27"/>
  <c r="L66" i="27" s="1"/>
  <c r="H65" i="27"/>
  <c r="L65" i="27" s="1"/>
  <c r="H64" i="27"/>
  <c r="H63" i="27"/>
  <c r="L63" i="27" s="1"/>
  <c r="H62" i="27"/>
  <c r="L62" i="27" s="1"/>
  <c r="H61" i="27"/>
  <c r="L61" i="27" s="1"/>
  <c r="H60" i="27"/>
  <c r="H59" i="27"/>
  <c r="L59" i="27" s="1"/>
  <c r="H58" i="27"/>
  <c r="L58" i="27" s="1"/>
  <c r="H57" i="27"/>
  <c r="L57" i="27" s="1"/>
  <c r="H56" i="27"/>
  <c r="H55" i="27"/>
  <c r="L55" i="27" s="1"/>
  <c r="H54" i="27"/>
  <c r="L54" i="27" s="1"/>
  <c r="H53" i="27"/>
  <c r="L53" i="27" s="1"/>
  <c r="H52" i="27"/>
  <c r="H51" i="27"/>
  <c r="L51" i="27" s="1"/>
  <c r="H50" i="27"/>
  <c r="L50" i="27" s="1"/>
  <c r="H49" i="27"/>
  <c r="L49" i="27" s="1"/>
  <c r="H48" i="27"/>
  <c r="H47" i="27"/>
  <c r="L47" i="27" s="1"/>
  <c r="H46" i="27"/>
  <c r="L46" i="27" s="1"/>
  <c r="H45" i="27"/>
  <c r="L45" i="27" s="1"/>
  <c r="H44" i="27"/>
  <c r="H43" i="27"/>
  <c r="L43" i="27" s="1"/>
  <c r="H42" i="27"/>
  <c r="L42" i="27" s="1"/>
  <c r="H41" i="27"/>
  <c r="L41" i="27" s="1"/>
  <c r="H40" i="27"/>
  <c r="H39" i="27"/>
  <c r="L39" i="27" s="1"/>
  <c r="H38" i="27"/>
  <c r="L38" i="27" s="1"/>
  <c r="H37" i="27"/>
  <c r="L37" i="27" s="1"/>
  <c r="H36" i="27"/>
  <c r="H35" i="27"/>
  <c r="L35" i="27" s="1"/>
  <c r="H34" i="27"/>
  <c r="L34" i="27" s="1"/>
  <c r="H33" i="27"/>
  <c r="L33" i="27" s="1"/>
  <c r="H32" i="27"/>
  <c r="H31" i="27"/>
  <c r="L31" i="27" s="1"/>
  <c r="H30" i="27"/>
  <c r="L30" i="27" s="1"/>
  <c r="H29" i="27"/>
  <c r="L29" i="27" s="1"/>
  <c r="H28" i="27"/>
  <c r="H27" i="27"/>
  <c r="L27" i="27" s="1"/>
  <c r="H26" i="27"/>
  <c r="L26" i="27" s="1"/>
  <c r="H25" i="27"/>
  <c r="L25" i="27" s="1"/>
  <c r="H24" i="27"/>
  <c r="H23" i="27"/>
  <c r="L23" i="27" s="1"/>
  <c r="H22" i="27"/>
  <c r="L22" i="27" s="1"/>
  <c r="H21" i="27"/>
  <c r="L21" i="27" s="1"/>
  <c r="H20" i="27"/>
  <c r="H19" i="27"/>
  <c r="L19" i="27" s="1"/>
  <c r="H18" i="27"/>
  <c r="L18" i="27" s="1"/>
  <c r="H17" i="27"/>
  <c r="L17" i="27" s="1"/>
  <c r="H16" i="27"/>
  <c r="H15" i="27"/>
  <c r="L15" i="27" s="1"/>
  <c r="H14" i="27"/>
  <c r="L14" i="27" s="1"/>
  <c r="H13" i="27"/>
  <c r="H12" i="27"/>
  <c r="J12" i="27" s="1"/>
  <c r="H11" i="27"/>
  <c r="J11" i="27" s="1"/>
  <c r="H10" i="27"/>
  <c r="L10" i="27" s="1"/>
  <c r="H9" i="27"/>
  <c r="L9" i="27" s="1"/>
  <c r="H8" i="27"/>
  <c r="J8" i="27" s="1"/>
  <c r="H7" i="27"/>
  <c r="J7" i="27" s="1"/>
  <c r="H6" i="27"/>
  <c r="L6" i="27" s="1"/>
  <c r="H5" i="27"/>
  <c r="L5" i="27" s="1"/>
  <c r="H4" i="27"/>
  <c r="J4" i="27" s="1"/>
  <c r="H3" i="27"/>
  <c r="J3" i="27" s="1"/>
  <c r="H2" i="27"/>
  <c r="L2" i="27" s="1"/>
  <c r="J16" i="27" l="1"/>
  <c r="L16" i="27"/>
  <c r="J32" i="27"/>
  <c r="L32" i="27"/>
  <c r="J44" i="27"/>
  <c r="L44" i="27"/>
  <c r="J60" i="27"/>
  <c r="L60" i="27"/>
  <c r="J80" i="27"/>
  <c r="L80" i="27"/>
  <c r="J96" i="27"/>
  <c r="L96" i="27"/>
  <c r="J24" i="27"/>
  <c r="L24" i="27"/>
  <c r="J36" i="27"/>
  <c r="L36" i="27"/>
  <c r="J48" i="27"/>
  <c r="L48" i="27"/>
  <c r="J56" i="27"/>
  <c r="L56" i="27"/>
  <c r="J68" i="27"/>
  <c r="L68" i="27"/>
  <c r="J72" i="27"/>
  <c r="L72" i="27"/>
  <c r="J84" i="27"/>
  <c r="L84" i="27"/>
  <c r="J92" i="27"/>
  <c r="L92" i="27"/>
  <c r="J106" i="27"/>
  <c r="L106" i="27"/>
  <c r="J110" i="27"/>
  <c r="L110" i="27"/>
  <c r="J114" i="27"/>
  <c r="L114" i="27"/>
  <c r="J118" i="27"/>
  <c r="L118" i="27"/>
  <c r="J122" i="27"/>
  <c r="L122" i="27"/>
  <c r="J126" i="27"/>
  <c r="L126" i="27"/>
  <c r="J130" i="27"/>
  <c r="L130" i="27"/>
  <c r="J134" i="27"/>
  <c r="L134" i="27"/>
  <c r="J138" i="27"/>
  <c r="L138" i="27"/>
  <c r="J142" i="27"/>
  <c r="L142" i="27"/>
  <c r="J146" i="27"/>
  <c r="L146" i="27"/>
  <c r="J150" i="27"/>
  <c r="L150" i="27"/>
  <c r="J154" i="27"/>
  <c r="L154" i="27"/>
  <c r="J158" i="27"/>
  <c r="L158" i="27"/>
  <c r="J162" i="27"/>
  <c r="L162" i="27"/>
  <c r="J174" i="27"/>
  <c r="L174" i="27"/>
  <c r="J178" i="27"/>
  <c r="L178" i="27"/>
  <c r="J182" i="27"/>
  <c r="L182" i="27"/>
  <c r="J20" i="27"/>
  <c r="L20" i="27"/>
  <c r="J28" i="27"/>
  <c r="L28" i="27"/>
  <c r="J40" i="27"/>
  <c r="L40" i="27"/>
  <c r="J52" i="27"/>
  <c r="L52" i="27"/>
  <c r="J64" i="27"/>
  <c r="L64" i="27"/>
  <c r="J76" i="27"/>
  <c r="L76" i="27"/>
  <c r="J88" i="27"/>
  <c r="L88" i="27"/>
  <c r="J100" i="27"/>
  <c r="L100" i="27"/>
  <c r="J107" i="27"/>
  <c r="L107" i="27"/>
  <c r="J111" i="27"/>
  <c r="L111" i="27"/>
  <c r="J115" i="27"/>
  <c r="L115" i="27"/>
  <c r="J119" i="27"/>
  <c r="L119" i="27"/>
  <c r="J123" i="27"/>
  <c r="L123" i="27"/>
  <c r="J127" i="27"/>
  <c r="L127" i="27"/>
  <c r="J131" i="27"/>
  <c r="L131" i="27"/>
  <c r="J135" i="27"/>
  <c r="L135" i="27"/>
  <c r="J139" i="27"/>
  <c r="L139" i="27"/>
  <c r="J143" i="27"/>
  <c r="L143" i="27"/>
  <c r="J147" i="27"/>
  <c r="L147" i="27"/>
  <c r="J151" i="27"/>
  <c r="L151" i="27"/>
  <c r="J155" i="27"/>
  <c r="L155" i="27"/>
  <c r="J159" i="27"/>
  <c r="L159" i="27"/>
  <c r="J163" i="27"/>
  <c r="L163" i="27"/>
  <c r="J167" i="27"/>
  <c r="L167" i="27"/>
  <c r="J171" i="27"/>
  <c r="L171" i="27"/>
  <c r="J181" i="27"/>
  <c r="J125" i="27"/>
  <c r="J149" i="27"/>
  <c r="J161" i="27"/>
  <c r="J165" i="27"/>
  <c r="J95" i="27"/>
  <c r="J117" i="27"/>
  <c r="J133" i="27"/>
  <c r="J157" i="27"/>
  <c r="J87" i="27"/>
  <c r="J103" i="27"/>
  <c r="J109" i="27"/>
  <c r="J141" i="27"/>
  <c r="L3" i="27"/>
  <c r="L8" i="27"/>
  <c r="L11" i="27"/>
  <c r="J19" i="27"/>
  <c r="J27" i="27"/>
  <c r="J35" i="27"/>
  <c r="J43" i="27"/>
  <c r="J51" i="27"/>
  <c r="J59" i="27"/>
  <c r="J67" i="27"/>
  <c r="J75" i="27"/>
  <c r="J83" i="27"/>
  <c r="J91" i="27"/>
  <c r="J99" i="27"/>
  <c r="J169" i="27"/>
  <c r="J105" i="27"/>
  <c r="J113" i="27"/>
  <c r="J121" i="27"/>
  <c r="J129" i="27"/>
  <c r="J137" i="27"/>
  <c r="J145" i="27"/>
  <c r="J153" i="27"/>
  <c r="J173" i="27"/>
  <c r="L4" i="27"/>
  <c r="L7" i="27"/>
  <c r="L12" i="27"/>
  <c r="J15" i="27"/>
  <c r="J23" i="27"/>
  <c r="J31" i="27"/>
  <c r="J39" i="27"/>
  <c r="J47" i="27"/>
  <c r="J55" i="27"/>
  <c r="J63" i="27"/>
  <c r="J71" i="27"/>
  <c r="J79" i="27"/>
  <c r="J2" i="27"/>
  <c r="J6" i="27"/>
  <c r="J10" i="27"/>
  <c r="J14" i="27"/>
  <c r="J18" i="27"/>
  <c r="J22" i="27"/>
  <c r="J26" i="27"/>
  <c r="J30" i="27"/>
  <c r="J34" i="27"/>
  <c r="J38" i="27"/>
  <c r="J42" i="27"/>
  <c r="J46" i="27"/>
  <c r="J50" i="27"/>
  <c r="J54" i="27"/>
  <c r="J58" i="27"/>
  <c r="J62" i="27"/>
  <c r="J66" i="27"/>
  <c r="J70" i="27"/>
  <c r="J74" i="27"/>
  <c r="J78" i="27"/>
  <c r="J82" i="27"/>
  <c r="J86" i="27"/>
  <c r="J90" i="27"/>
  <c r="J94" i="27"/>
  <c r="J98" i="27"/>
  <c r="J102" i="27"/>
  <c r="J166" i="27"/>
  <c r="J170" i="27"/>
  <c r="J177" i="27"/>
  <c r="L13" i="27"/>
  <c r="J13" i="27"/>
  <c r="J25" i="27"/>
  <c r="J33" i="27"/>
  <c r="J41" i="27"/>
  <c r="J49" i="27"/>
  <c r="J61" i="27"/>
  <c r="J65" i="27"/>
  <c r="J69" i="27"/>
  <c r="J73" i="27"/>
  <c r="J77" i="27"/>
  <c r="J81" i="27"/>
  <c r="J85" i="27"/>
  <c r="J89" i="27"/>
  <c r="J93" i="27"/>
  <c r="J97" i="27"/>
  <c r="J101" i="27"/>
  <c r="J176" i="27"/>
  <c r="J5" i="27"/>
  <c r="J9" i="27"/>
  <c r="J57" i="27"/>
  <c r="J108" i="27"/>
  <c r="J112" i="27"/>
  <c r="J116" i="27"/>
  <c r="J120" i="27"/>
  <c r="J124" i="27"/>
  <c r="J128" i="27"/>
  <c r="J132" i="27"/>
  <c r="J136" i="27"/>
  <c r="J140" i="27"/>
  <c r="J144" i="27"/>
  <c r="J148" i="27"/>
  <c r="J152" i="27"/>
  <c r="J156" i="27"/>
  <c r="J160" i="27"/>
  <c r="J164" i="27"/>
  <c r="J168" i="27"/>
  <c r="J172" i="27"/>
  <c r="J180" i="27"/>
  <c r="J17" i="27"/>
  <c r="J21" i="27"/>
  <c r="J29" i="27"/>
  <c r="J37" i="27"/>
  <c r="J45" i="27"/>
  <c r="J53" i="27"/>
  <c r="J175" i="27"/>
  <c r="J179" i="27"/>
  <c r="J183" i="27"/>
</calcChain>
</file>

<file path=xl/sharedStrings.xml><?xml version="1.0" encoding="utf-8"?>
<sst xmlns="http://schemas.openxmlformats.org/spreadsheetml/2006/main" count="2741" uniqueCount="139">
  <si>
    <t>CODIGO</t>
  </si>
  <si>
    <t>Articulo</t>
  </si>
  <si>
    <t>Descripcion</t>
  </si>
  <si>
    <t>Bodega</t>
  </si>
  <si>
    <t>Cornelio</t>
  </si>
  <si>
    <t>Antonio</t>
  </si>
  <si>
    <t>Cesar</t>
  </si>
  <si>
    <t>Total</t>
  </si>
  <si>
    <t>venta</t>
  </si>
  <si>
    <t>Diferencia</t>
  </si>
  <si>
    <t>sistema</t>
  </si>
  <si>
    <t>Cola</t>
  </si>
  <si>
    <t>Citrus</t>
  </si>
  <si>
    <t>Sandia</t>
  </si>
  <si>
    <t>Naranja</t>
  </si>
  <si>
    <t>Limon</t>
  </si>
  <si>
    <t>Piña</t>
  </si>
  <si>
    <t>Uva</t>
  </si>
  <si>
    <t>naranjada</t>
  </si>
  <si>
    <t>Cifrut</t>
  </si>
  <si>
    <t>Cifrus Naranja</t>
  </si>
  <si>
    <t>cola</t>
  </si>
  <si>
    <t>Cola  8 un</t>
  </si>
  <si>
    <t>naranja 8</t>
  </si>
  <si>
    <t>limon 8</t>
  </si>
  <si>
    <t>Cifrut 8 uni</t>
  </si>
  <si>
    <t>Sandia 8 uni</t>
  </si>
  <si>
    <t>Tropical</t>
  </si>
  <si>
    <t>Cola  15 un</t>
  </si>
  <si>
    <t>Cola 12 UNI</t>
  </si>
  <si>
    <t>Naranja 8 uni</t>
  </si>
  <si>
    <t>Limon 8 uni</t>
  </si>
  <si>
    <t>cifrut 15 uni</t>
  </si>
  <si>
    <t>Sandia 15 uni</t>
  </si>
  <si>
    <t>Limon 12 uni</t>
  </si>
  <si>
    <t>Uva 12 uni</t>
  </si>
  <si>
    <t>Roja 24 uni</t>
  </si>
  <si>
    <t>Mandarina</t>
  </si>
  <si>
    <t>mora</t>
  </si>
  <si>
    <t>Mineral</t>
  </si>
  <si>
    <t>Mineral Lata</t>
  </si>
  <si>
    <t>Volt</t>
  </si>
  <si>
    <t>VOLT LATA</t>
  </si>
  <si>
    <t>VOLT PINK</t>
  </si>
  <si>
    <t>VOLT CAFÉ</t>
  </si>
  <si>
    <t>VOLT BLUE BERRY</t>
  </si>
  <si>
    <t>VOLT AGAVE</t>
  </si>
  <si>
    <t>Volt Go</t>
  </si>
  <si>
    <t>Cielo</t>
  </si>
  <si>
    <t>CIELO 20 UNI</t>
  </si>
  <si>
    <t>CIELO 30 UNI</t>
  </si>
  <si>
    <t>cielo</t>
  </si>
  <si>
    <t>pulp melocoton</t>
  </si>
  <si>
    <t>Pulp Manzana</t>
  </si>
  <si>
    <t>Pulp Arandano</t>
  </si>
  <si>
    <t>pulp uva</t>
  </si>
  <si>
    <t>pulp naranja</t>
  </si>
  <si>
    <t>PULP FORTE HIERRO</t>
  </si>
  <si>
    <t>PULPIN PIÑA</t>
  </si>
  <si>
    <t>pulpin MANGO</t>
  </si>
  <si>
    <t>PULPIN PERA</t>
  </si>
  <si>
    <t>pulp Melocoton</t>
  </si>
  <si>
    <t>pulp Manzana</t>
  </si>
  <si>
    <t>Cifrut Citrus</t>
  </si>
  <si>
    <t>cifrut Sandia</t>
  </si>
  <si>
    <t>Cifrut Tropical</t>
  </si>
  <si>
    <t>deporade Blue Berry</t>
  </si>
  <si>
    <t>deporade Uva</t>
  </si>
  <si>
    <t>deporade Fruty</t>
  </si>
  <si>
    <t>deporade Mandarina</t>
  </si>
  <si>
    <t>deporade Manzana</t>
  </si>
  <si>
    <t>deporade Maracuya</t>
  </si>
  <si>
    <t>Deporade naranja</t>
  </si>
  <si>
    <t>deporade Naranja</t>
  </si>
  <si>
    <t>Deporade Mandarina</t>
  </si>
  <si>
    <t>Aloe</t>
  </si>
  <si>
    <t>limonada</t>
  </si>
  <si>
    <t>citrus</t>
  </si>
  <si>
    <t>Roja</t>
  </si>
  <si>
    <t>Limonada</t>
  </si>
  <si>
    <t>Toronjada</t>
  </si>
  <si>
    <t>deporade uva</t>
  </si>
  <si>
    <t>Deporade Maracuya</t>
  </si>
  <si>
    <t>Cifrut caja</t>
  </si>
  <si>
    <t>Sandia caja</t>
  </si>
  <si>
    <t>Deporade Fruty</t>
  </si>
  <si>
    <t>Deporade Uva</t>
  </si>
  <si>
    <t>Manzana</t>
  </si>
  <si>
    <t>Ginger ale</t>
  </si>
  <si>
    <t>TEA DURAZNO</t>
  </si>
  <si>
    <t>TEA LIMON</t>
  </si>
  <si>
    <t>PULP MELOCOTON</t>
  </si>
  <si>
    <t>PULP MANZANA</t>
  </si>
  <si>
    <t>PULP ARANDANO</t>
  </si>
  <si>
    <t>PULP UVA</t>
  </si>
  <si>
    <t>PULP PIÑA</t>
  </si>
  <si>
    <t>PULP PERA</t>
  </si>
  <si>
    <t>PULP MANGO</t>
  </si>
  <si>
    <t>PULP NARANJA</t>
  </si>
  <si>
    <t>VOLT FANTASY</t>
  </si>
  <si>
    <t>Volt Fruit Ponch</t>
  </si>
  <si>
    <t>522010 - 13</t>
  </si>
  <si>
    <t>AMAYU</t>
  </si>
  <si>
    <t>CHAMPANG</t>
  </si>
  <si>
    <t>COLA</t>
  </si>
  <si>
    <t>NARANJA</t>
  </si>
  <si>
    <t>LIMON</t>
  </si>
  <si>
    <t>UVA</t>
  </si>
  <si>
    <t>ROJA</t>
  </si>
  <si>
    <t>Gelatina</t>
  </si>
  <si>
    <t>naranja</t>
  </si>
  <si>
    <t>TEE DURAZNO</t>
  </si>
  <si>
    <t>TEE LIMON</t>
  </si>
  <si>
    <t>limon</t>
  </si>
  <si>
    <t>Sopa pollo</t>
  </si>
  <si>
    <t>sopa de res</t>
  </si>
  <si>
    <t>Avena</t>
  </si>
  <si>
    <t xml:space="preserve">Arroz </t>
  </si>
  <si>
    <t>Maseca  800 gr</t>
  </si>
  <si>
    <t>Blue Berry 12 uni</t>
  </si>
  <si>
    <t>sporade uva 12 uni</t>
  </si>
  <si>
    <t>Sporade fruty 12 uni</t>
  </si>
  <si>
    <t>Sporade mandarina 12 uni</t>
  </si>
  <si>
    <t>Sporade manzana 12 uni</t>
  </si>
  <si>
    <t>Sporade maracuya 12 uni</t>
  </si>
  <si>
    <t>Sporade naranja 12 uni</t>
  </si>
  <si>
    <t>Sporade Blue Berry</t>
  </si>
  <si>
    <t>Maracuya 12 uni</t>
  </si>
  <si>
    <t>Mandarina 12 uni</t>
  </si>
  <si>
    <t>Manzana 12 uni</t>
  </si>
  <si>
    <t>Cereales Aritos</t>
  </si>
  <si>
    <t>Precio</t>
  </si>
  <si>
    <t>Valor 
Total</t>
  </si>
  <si>
    <t>Valor
Total</t>
  </si>
  <si>
    <t>Pulp</t>
  </si>
  <si>
    <t>625 fresa</t>
  </si>
  <si>
    <t>625 chicle</t>
  </si>
  <si>
    <t>3030 Cola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</si>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</sst>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Fill="1" applyBorder="1" applyAlignment="1">
      <alignment horizontal="justify" vertical="center"/>
    </xf>
    <xf numFmtId="0" fontId="0" fillId="0" borderId="1" xfId="0" applyBorder="1"/>
    <xf numFmtId="0" fontId="0" fillId="0" borderId="3" xfId="0" applyBorder="1"/>
    <xf numFmtId="0" fontId="0" fillId="0" borderId="3" xfId="0" applyNumberFormat="1" applyBorder="1"/>
    <xf numFmtId="0" fontId="0" fillId="2" borderId="3" xfId="0" applyFill="1" applyBorder="1"/>
    <xf numFmtId="0" fontId="0" fillId="0" borderId="4" xfId="0" applyBorder="1"/>
    <xf numFmtId="0" fontId="0" fillId="0" borderId="5" xfId="0" applyFill="1" applyBorder="1"/>
    <xf numFmtId="0" fontId="1" fillId="0" borderId="6" xfId="0" applyFont="1" applyBorder="1"/>
    <xf numFmtId="0" fontId="1" fillId="0" borderId="7" xfId="0" applyFont="1" applyFill="1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0" borderId="10" xfId="0" applyBorder="1"/>
    <xf numFmtId="0" fontId="1" fillId="0" borderId="8" xfId="0" applyFont="1" applyBorder="1"/>
    <xf numFmtId="0" fontId="1" fillId="0" borderId="11" xfId="0" applyFont="1" applyFill="1" applyBorder="1"/>
    <xf numFmtId="0" fontId="1" fillId="2" borderId="7" xfId="0" applyFont="1" applyFill="1" applyBorder="1"/>
    <xf numFmtId="0" fontId="1" fillId="3" borderId="6" xfId="0" applyFont="1" applyFill="1" applyBorder="1"/>
    <xf numFmtId="0" fontId="1" fillId="2" borderId="6" xfId="0" applyFont="1" applyFill="1" applyBorder="1"/>
    <xf numFmtId="0" fontId="1" fillId="0" borderId="12" xfId="0" applyFont="1" applyBorder="1"/>
    <xf numFmtId="0" fontId="1" fillId="0" borderId="13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3" borderId="12" xfId="0" applyFont="1" applyFill="1" applyBorder="1"/>
    <xf numFmtId="0" fontId="1" fillId="0" borderId="14" xfId="0" applyFont="1" applyBorder="1"/>
    <xf numFmtId="0" fontId="1" fillId="0" borderId="15" xfId="0" applyFont="1" applyFill="1" applyBorder="1"/>
    <xf numFmtId="0" fontId="0" fillId="0" borderId="14" xfId="0" applyBorder="1"/>
    <xf numFmtId="0" fontId="0" fillId="0" borderId="16" xfId="0" applyBorder="1"/>
    <xf numFmtId="0" fontId="0" fillId="0" borderId="16" xfId="0" applyNumberFormat="1" applyBorder="1"/>
    <xf numFmtId="0" fontId="0" fillId="2" borderId="16" xfId="0" applyFill="1" applyBorder="1"/>
    <xf numFmtId="0" fontId="0" fillId="0" borderId="17" xfId="0" applyBorder="1"/>
    <xf numFmtId="0" fontId="0" fillId="0" borderId="0" xfId="0" applyFill="1"/>
    <xf numFmtId="0" fontId="0" fillId="0" borderId="0" xfId="0" applyNumberFormat="1"/>
    <xf numFmtId="0" fontId="0" fillId="2" borderId="0" xfId="0" applyFill="1"/>
    <xf numFmtId="0" fontId="0" fillId="2" borderId="0" xfId="0" applyFill="1" applyBorder="1"/>
    <xf numFmtId="0" fontId="0" fillId="0" borderId="9" xfId="0" applyFill="1" applyBorder="1"/>
    <xf numFmtId="0" fontId="0" fillId="3" borderId="0" xfId="0" applyFill="1"/>
    <xf numFmtId="0" fontId="0" fillId="4" borderId="0" xfId="0" applyFill="1"/>
    <xf numFmtId="0" fontId="1" fillId="5" borderId="3" xfId="0" applyFont="1" applyFill="1" applyBorder="1" applyAlignment="1">
      <alignment horizontal="justify" vertical="center"/>
    </xf>
    <xf numFmtId="43" fontId="3" fillId="5" borderId="18" xfId="1" applyFont="1" applyFill="1" applyBorder="1"/>
    <xf numFmtId="43" fontId="3" fillId="5" borderId="9" xfId="1" applyFont="1" applyFill="1" applyBorder="1"/>
    <xf numFmtId="0" fontId="3" fillId="0" borderId="18" xfId="0" applyFont="1" applyBorder="1"/>
    <xf numFmtId="2" fontId="0" fillId="0" borderId="0" xfId="0" applyNumberFormat="1"/>
    <xf numFmtId="0" fontId="0" fillId="0" borderId="0" xfId="0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1" fillId="0" borderId="0" xfId="0" applyFont="1" applyFill="1" applyBorder="1"/>
    <xf numFmtId="43" fontId="3" fillId="5" borderId="0" xfId="1" applyFont="1" applyFill="1" applyBorder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workbookViewId="0">
      <pane xSplit="3" ySplit="1" topLeftCell="D50" activePane="bottomRight" state="frozen"/>
      <selection pane="topRight" activeCell="D1" sqref="D1"/>
      <selection pane="bottomLeft" activeCell="A2" sqref="A2"/>
      <selection pane="bottomRight" activeCell="A53" sqref="A53:XFD53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7.5703125" bestFit="1" customWidth="1"/>
    <col min="5" max="5" width="8.140625" bestFit="1" customWidth="1"/>
    <col min="6" max="6" width="8.140625" style="33" bestFit="1" customWidth="1"/>
    <col min="7" max="7" width="8.5703125" bestFit="1" customWidth="1"/>
    <col min="8" max="8" width="5.42578125" style="34" bestFit="1" customWidth="1"/>
    <col min="9" max="9" width="8" bestFit="1" customWidth="1"/>
    <col min="10" max="10" width="11.28515625" customWidth="1"/>
    <col min="11" max="11" width="8.7109375" customWidth="1"/>
    <col min="12" max="12" width="5.7109375" style="34" customWidth="1"/>
    <col min="13" max="13" width="5.7109375" customWidth="1"/>
  </cols>
  <sheetData>
    <row r="1" spans="1:12" ht="32.25" thickBot="1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35"/>
    </row>
    <row r="2" spans="1:12" ht="15.75" x14ac:dyDescent="0.25">
      <c r="B2" s="9">
        <v>3300</v>
      </c>
      <c r="C2" s="10" t="s">
        <v>11</v>
      </c>
      <c r="D2" s="11"/>
      <c r="E2" s="36">
        <v>0</v>
      </c>
      <c r="F2" s="36">
        <v>0</v>
      </c>
      <c r="G2" s="36">
        <v>0</v>
      </c>
      <c r="H2" s="13">
        <f>D2+E2+F2+G2</f>
        <v>0</v>
      </c>
      <c r="I2" s="12"/>
      <c r="J2" s="14">
        <f>H2-I2</f>
        <v>0</v>
      </c>
      <c r="L2" s="34">
        <f>K2-H2</f>
        <v>0</v>
      </c>
    </row>
    <row r="3" spans="1:12" ht="15.75" x14ac:dyDescent="0.25">
      <c r="B3" s="9">
        <v>3.5</v>
      </c>
      <c r="C3" s="10" t="s">
        <v>12</v>
      </c>
      <c r="D3" s="11"/>
      <c r="E3" s="36">
        <v>0</v>
      </c>
      <c r="F3" s="36">
        <v>0</v>
      </c>
      <c r="G3" s="36">
        <v>0</v>
      </c>
      <c r="H3" s="13">
        <f t="shared" ref="H3:H66" si="0">D3+E3+F3+G3</f>
        <v>0</v>
      </c>
      <c r="I3" s="12"/>
      <c r="J3" s="14">
        <f t="shared" ref="J3:J55" si="1">H3-I3</f>
        <v>0</v>
      </c>
      <c r="L3" s="34">
        <f t="shared" ref="L3:L66" si="2">K3-H3</f>
        <v>0</v>
      </c>
    </row>
    <row r="4" spans="1:12" ht="15.75" x14ac:dyDescent="0.25">
      <c r="A4">
        <v>511908</v>
      </c>
      <c r="B4" s="9">
        <v>3030</v>
      </c>
      <c r="C4" s="10" t="s">
        <v>12</v>
      </c>
      <c r="D4" s="11">
        <v>4</v>
      </c>
      <c r="E4" s="36">
        <v>5</v>
      </c>
      <c r="F4" s="36">
        <v>10</v>
      </c>
      <c r="G4" s="36">
        <v>10</v>
      </c>
      <c r="H4" s="13">
        <f t="shared" si="0"/>
        <v>29</v>
      </c>
      <c r="I4" s="12"/>
      <c r="J4" s="14">
        <f t="shared" si="1"/>
        <v>29</v>
      </c>
      <c r="K4">
        <v>30</v>
      </c>
      <c r="L4" s="37">
        <f t="shared" si="2"/>
        <v>1</v>
      </c>
    </row>
    <row r="5" spans="1:12" ht="15.75" x14ac:dyDescent="0.25">
      <c r="A5">
        <v>509671</v>
      </c>
      <c r="B5" s="9">
        <v>3030</v>
      </c>
      <c r="C5" s="10" t="s">
        <v>13</v>
      </c>
      <c r="D5" s="11">
        <v>36</v>
      </c>
      <c r="E5" s="36">
        <v>5</v>
      </c>
      <c r="F5" s="36">
        <v>10</v>
      </c>
      <c r="G5" s="36">
        <v>10</v>
      </c>
      <c r="H5" s="13">
        <f t="shared" si="0"/>
        <v>61</v>
      </c>
      <c r="I5" s="12"/>
      <c r="J5" s="14">
        <f t="shared" si="1"/>
        <v>61</v>
      </c>
      <c r="K5">
        <v>61</v>
      </c>
      <c r="L5" s="34">
        <f t="shared" si="2"/>
        <v>0</v>
      </c>
    </row>
    <row r="6" spans="1:12" ht="15.75" x14ac:dyDescent="0.25">
      <c r="A6">
        <v>500179</v>
      </c>
      <c r="B6" s="9">
        <v>3030</v>
      </c>
      <c r="C6" s="10" t="s">
        <v>11</v>
      </c>
      <c r="D6" s="11">
        <v>40</v>
      </c>
      <c r="E6" s="36">
        <v>30</v>
      </c>
      <c r="F6" s="36">
        <v>40</v>
      </c>
      <c r="G6" s="36">
        <v>16</v>
      </c>
      <c r="H6" s="13">
        <f t="shared" si="0"/>
        <v>126</v>
      </c>
      <c r="I6" s="12"/>
      <c r="J6" s="14">
        <f t="shared" si="1"/>
        <v>126</v>
      </c>
      <c r="K6">
        <v>128</v>
      </c>
      <c r="L6" s="37">
        <f t="shared" si="2"/>
        <v>2</v>
      </c>
    </row>
    <row r="7" spans="1:12" ht="15.75" x14ac:dyDescent="0.25">
      <c r="A7">
        <v>501109</v>
      </c>
      <c r="B7" s="9">
        <v>3030</v>
      </c>
      <c r="C7" s="10" t="s">
        <v>14</v>
      </c>
      <c r="D7" s="11">
        <v>21</v>
      </c>
      <c r="E7" s="36">
        <v>2</v>
      </c>
      <c r="F7" s="36">
        <v>3</v>
      </c>
      <c r="G7" s="36">
        <v>2</v>
      </c>
      <c r="H7" s="13">
        <f t="shared" si="0"/>
        <v>28</v>
      </c>
      <c r="I7" s="12"/>
      <c r="J7" s="14">
        <f t="shared" si="1"/>
        <v>28</v>
      </c>
      <c r="K7">
        <v>28</v>
      </c>
      <c r="L7" s="34">
        <f t="shared" si="2"/>
        <v>0</v>
      </c>
    </row>
    <row r="8" spans="1:12" ht="15.75" x14ac:dyDescent="0.25">
      <c r="A8">
        <v>501244</v>
      </c>
      <c r="B8" s="9">
        <v>3030</v>
      </c>
      <c r="C8" s="10" t="s">
        <v>15</v>
      </c>
      <c r="D8" s="11"/>
      <c r="E8" s="36">
        <v>0</v>
      </c>
      <c r="F8" s="36">
        <v>0</v>
      </c>
      <c r="G8" s="36">
        <v>0</v>
      </c>
      <c r="H8" s="13">
        <f t="shared" si="0"/>
        <v>0</v>
      </c>
      <c r="I8" s="12"/>
      <c r="J8" s="14">
        <f t="shared" si="1"/>
        <v>0</v>
      </c>
      <c r="K8">
        <v>1</v>
      </c>
      <c r="L8" s="37">
        <f t="shared" si="2"/>
        <v>1</v>
      </c>
    </row>
    <row r="9" spans="1:12" ht="15.75" x14ac:dyDescent="0.25">
      <c r="A9">
        <v>501456</v>
      </c>
      <c r="B9" s="9">
        <v>3030</v>
      </c>
      <c r="C9" s="10" t="s">
        <v>16</v>
      </c>
      <c r="D9" s="11"/>
      <c r="E9" s="36">
        <v>0</v>
      </c>
      <c r="F9" s="36">
        <v>0</v>
      </c>
      <c r="G9" s="36">
        <v>0</v>
      </c>
      <c r="H9" s="13">
        <f t="shared" si="0"/>
        <v>0</v>
      </c>
      <c r="I9" s="12"/>
      <c r="J9" s="14">
        <f t="shared" si="1"/>
        <v>0</v>
      </c>
      <c r="L9" s="34">
        <f t="shared" si="2"/>
        <v>0</v>
      </c>
    </row>
    <row r="10" spans="1:12" ht="15.75" x14ac:dyDescent="0.25">
      <c r="A10">
        <v>501540</v>
      </c>
      <c r="B10" s="9">
        <v>3030</v>
      </c>
      <c r="C10" s="10" t="s">
        <v>17</v>
      </c>
      <c r="D10" s="11"/>
      <c r="E10" s="36">
        <v>0</v>
      </c>
      <c r="F10" s="36">
        <v>0</v>
      </c>
      <c r="G10" s="36">
        <v>0</v>
      </c>
      <c r="H10" s="13">
        <f t="shared" si="0"/>
        <v>0</v>
      </c>
      <c r="I10" s="12"/>
      <c r="J10" s="14">
        <f t="shared" si="1"/>
        <v>0</v>
      </c>
      <c r="L10" s="34">
        <f t="shared" si="2"/>
        <v>0</v>
      </c>
    </row>
    <row r="11" spans="1:12" ht="15.75" x14ac:dyDescent="0.25">
      <c r="B11" s="9">
        <v>3030</v>
      </c>
      <c r="C11" s="10" t="s">
        <v>18</v>
      </c>
      <c r="D11" s="11"/>
      <c r="E11" s="36">
        <v>0</v>
      </c>
      <c r="F11" s="36">
        <v>0</v>
      </c>
      <c r="G11" s="36">
        <v>0</v>
      </c>
      <c r="H11" s="13">
        <f t="shared" si="0"/>
        <v>0</v>
      </c>
      <c r="I11" s="12"/>
      <c r="J11" s="14">
        <f t="shared" si="1"/>
        <v>0</v>
      </c>
      <c r="L11" s="34">
        <f t="shared" si="2"/>
        <v>0</v>
      </c>
    </row>
    <row r="12" spans="1:12" ht="15.75" x14ac:dyDescent="0.25">
      <c r="B12" s="9">
        <v>2250</v>
      </c>
      <c r="C12" s="10" t="s">
        <v>11</v>
      </c>
      <c r="D12" s="11"/>
      <c r="E12" s="36">
        <v>0</v>
      </c>
      <c r="F12" s="36">
        <v>0</v>
      </c>
      <c r="G12" s="36">
        <v>0</v>
      </c>
      <c r="H12" s="13">
        <f t="shared" si="0"/>
        <v>0</v>
      </c>
      <c r="I12" s="12"/>
      <c r="J12" s="14">
        <f t="shared" si="1"/>
        <v>0</v>
      </c>
      <c r="L12" s="34">
        <f t="shared" si="2"/>
        <v>0</v>
      </c>
    </row>
    <row r="13" spans="1:12" ht="15.75" x14ac:dyDescent="0.25">
      <c r="B13" s="9">
        <v>2250</v>
      </c>
      <c r="C13" s="10" t="s">
        <v>19</v>
      </c>
      <c r="D13" s="11"/>
      <c r="E13" s="36">
        <v>0</v>
      </c>
      <c r="F13" s="36">
        <v>0</v>
      </c>
      <c r="G13" s="36">
        <v>0</v>
      </c>
      <c r="H13" s="13">
        <f t="shared" si="0"/>
        <v>0</v>
      </c>
      <c r="I13" s="12"/>
      <c r="J13" s="14">
        <f t="shared" si="1"/>
        <v>0</v>
      </c>
      <c r="L13" s="34">
        <f t="shared" si="2"/>
        <v>0</v>
      </c>
    </row>
    <row r="14" spans="1:12" ht="15.75" x14ac:dyDescent="0.25">
      <c r="B14" s="9">
        <v>1800</v>
      </c>
      <c r="C14" s="10" t="s">
        <v>20</v>
      </c>
      <c r="D14" s="11"/>
      <c r="E14" s="36">
        <v>0</v>
      </c>
      <c r="F14" s="36">
        <v>0</v>
      </c>
      <c r="G14" s="36">
        <v>0</v>
      </c>
      <c r="H14" s="13">
        <f t="shared" si="0"/>
        <v>0</v>
      </c>
      <c r="I14" s="12"/>
      <c r="J14" s="14">
        <f t="shared" si="1"/>
        <v>0</v>
      </c>
      <c r="L14" s="34">
        <f t="shared" si="2"/>
        <v>0</v>
      </c>
    </row>
    <row r="15" spans="1:12" ht="15.75" x14ac:dyDescent="0.25">
      <c r="B15" s="9">
        <v>1800</v>
      </c>
      <c r="C15" s="10" t="s">
        <v>21</v>
      </c>
      <c r="D15" s="11"/>
      <c r="E15" s="36">
        <v>0</v>
      </c>
      <c r="F15" s="36">
        <v>0</v>
      </c>
      <c r="G15" s="36">
        <v>0</v>
      </c>
      <c r="H15" s="13">
        <f t="shared" si="0"/>
        <v>0</v>
      </c>
      <c r="I15" s="12"/>
      <c r="J15" s="14">
        <f t="shared" si="1"/>
        <v>0</v>
      </c>
      <c r="L15" s="34">
        <f t="shared" si="2"/>
        <v>0</v>
      </c>
    </row>
    <row r="16" spans="1:12" ht="15.75" x14ac:dyDescent="0.25">
      <c r="A16">
        <v>500390</v>
      </c>
      <c r="B16" s="9">
        <v>1.3</v>
      </c>
      <c r="C16" s="10" t="s">
        <v>22</v>
      </c>
      <c r="D16" s="11">
        <v>83</v>
      </c>
      <c r="E16" s="36">
        <v>25</v>
      </c>
      <c r="F16" s="36">
        <v>1</v>
      </c>
      <c r="G16" s="36">
        <v>14</v>
      </c>
      <c r="H16" s="13">
        <f t="shared" si="0"/>
        <v>123</v>
      </c>
      <c r="I16" s="12"/>
      <c r="J16" s="14">
        <f t="shared" si="1"/>
        <v>123</v>
      </c>
      <c r="K16">
        <v>123</v>
      </c>
      <c r="L16" s="34">
        <f t="shared" si="2"/>
        <v>0</v>
      </c>
    </row>
    <row r="17" spans="1:12" ht="15.75" x14ac:dyDescent="0.25">
      <c r="B17" s="9">
        <v>1.3</v>
      </c>
      <c r="C17" s="10" t="s">
        <v>23</v>
      </c>
      <c r="D17" s="11"/>
      <c r="E17" s="36">
        <v>0</v>
      </c>
      <c r="F17" s="36">
        <v>0</v>
      </c>
      <c r="G17" s="36">
        <v>0</v>
      </c>
      <c r="H17" s="13">
        <f t="shared" si="0"/>
        <v>0</v>
      </c>
      <c r="I17" s="12"/>
      <c r="J17" s="14">
        <f t="shared" si="1"/>
        <v>0</v>
      </c>
      <c r="L17" s="34">
        <f t="shared" si="2"/>
        <v>0</v>
      </c>
    </row>
    <row r="18" spans="1:12" ht="15.75" x14ac:dyDescent="0.25">
      <c r="B18" s="9">
        <v>1.3</v>
      </c>
      <c r="C18" s="10" t="s">
        <v>24</v>
      </c>
      <c r="D18" s="11"/>
      <c r="E18" s="36">
        <v>0</v>
      </c>
      <c r="F18" s="36">
        <v>0</v>
      </c>
      <c r="G18" s="36">
        <v>0</v>
      </c>
      <c r="H18" s="13">
        <f t="shared" si="0"/>
        <v>0</v>
      </c>
      <c r="I18" s="12"/>
      <c r="J18" s="14">
        <f t="shared" si="1"/>
        <v>0</v>
      </c>
      <c r="L18" s="34">
        <f t="shared" si="2"/>
        <v>0</v>
      </c>
    </row>
    <row r="19" spans="1:12" ht="15.75" x14ac:dyDescent="0.25">
      <c r="A19">
        <v>511927</v>
      </c>
      <c r="B19" s="9">
        <v>1.3</v>
      </c>
      <c r="C19" s="10" t="s">
        <v>25</v>
      </c>
      <c r="D19" s="11">
        <v>58</v>
      </c>
      <c r="E19" s="36">
        <v>10</v>
      </c>
      <c r="F19" s="36">
        <v>11</v>
      </c>
      <c r="G19" s="36">
        <v>15</v>
      </c>
      <c r="H19" s="13">
        <f t="shared" si="0"/>
        <v>94</v>
      </c>
      <c r="I19" s="12"/>
      <c r="J19" s="14">
        <f t="shared" si="1"/>
        <v>94</v>
      </c>
      <c r="K19">
        <v>99</v>
      </c>
      <c r="L19" s="37">
        <f t="shared" si="2"/>
        <v>5</v>
      </c>
    </row>
    <row r="20" spans="1:12" ht="15.75" x14ac:dyDescent="0.25">
      <c r="A20">
        <v>509919</v>
      </c>
      <c r="B20" s="9">
        <v>1.3</v>
      </c>
      <c r="C20" s="10" t="s">
        <v>26</v>
      </c>
      <c r="D20" s="11"/>
      <c r="E20" s="36">
        <v>0</v>
      </c>
      <c r="F20" s="36">
        <v>0</v>
      </c>
      <c r="G20" s="36">
        <v>0</v>
      </c>
      <c r="H20" s="13">
        <f t="shared" si="0"/>
        <v>0</v>
      </c>
      <c r="I20" s="12"/>
      <c r="J20" s="14">
        <f t="shared" si="1"/>
        <v>0</v>
      </c>
      <c r="L20" s="34">
        <f t="shared" si="2"/>
        <v>0</v>
      </c>
    </row>
    <row r="21" spans="1:12" ht="15" customHeight="1" x14ac:dyDescent="0.25">
      <c r="B21" s="9">
        <v>1300</v>
      </c>
      <c r="C21" s="10" t="s">
        <v>27</v>
      </c>
      <c r="D21" s="11"/>
      <c r="E21" s="36">
        <v>0</v>
      </c>
      <c r="F21" s="36">
        <v>0</v>
      </c>
      <c r="G21" s="36">
        <v>0</v>
      </c>
      <c r="H21" s="13">
        <f t="shared" si="0"/>
        <v>0</v>
      </c>
      <c r="I21" s="12"/>
      <c r="J21" s="14">
        <f t="shared" si="1"/>
        <v>0</v>
      </c>
      <c r="L21" s="34">
        <f t="shared" si="2"/>
        <v>0</v>
      </c>
    </row>
    <row r="22" spans="1:12" ht="15.75" x14ac:dyDescent="0.25">
      <c r="A22">
        <v>500094</v>
      </c>
      <c r="B22" s="9">
        <v>1000</v>
      </c>
      <c r="C22" s="10" t="s">
        <v>11</v>
      </c>
      <c r="D22" s="11"/>
      <c r="E22" s="36">
        <v>0</v>
      </c>
      <c r="F22" s="36">
        <v>0</v>
      </c>
      <c r="G22" s="36">
        <v>0</v>
      </c>
      <c r="H22" s="13">
        <f t="shared" si="0"/>
        <v>0</v>
      </c>
      <c r="I22" s="12"/>
      <c r="J22" s="14">
        <f t="shared" si="1"/>
        <v>0</v>
      </c>
      <c r="K22">
        <v>3</v>
      </c>
      <c r="L22" s="37">
        <f t="shared" si="2"/>
        <v>3</v>
      </c>
    </row>
    <row r="23" spans="1:12" ht="15.75" x14ac:dyDescent="0.25">
      <c r="A23">
        <v>599038</v>
      </c>
      <c r="B23" s="9">
        <v>625</v>
      </c>
      <c r="C23" s="10" t="s">
        <v>28</v>
      </c>
      <c r="D23" s="11"/>
      <c r="E23" s="36">
        <v>12</v>
      </c>
      <c r="F23" s="36">
        <v>2</v>
      </c>
      <c r="G23" s="36">
        <v>8</v>
      </c>
      <c r="H23" s="13">
        <f t="shared" si="0"/>
        <v>22</v>
      </c>
      <c r="I23" s="12"/>
      <c r="J23" s="14">
        <f t="shared" si="1"/>
        <v>22</v>
      </c>
      <c r="K23">
        <v>22</v>
      </c>
      <c r="L23" s="34">
        <f t="shared" si="2"/>
        <v>0</v>
      </c>
    </row>
    <row r="24" spans="1:12" ht="15.75" x14ac:dyDescent="0.25">
      <c r="A24">
        <v>500303</v>
      </c>
      <c r="B24" s="9">
        <v>625</v>
      </c>
      <c r="C24" s="10" t="s">
        <v>29</v>
      </c>
      <c r="D24" s="11">
        <v>2</v>
      </c>
      <c r="E24" s="36">
        <v>0</v>
      </c>
      <c r="F24" s="36">
        <v>0</v>
      </c>
      <c r="G24" s="36">
        <v>0</v>
      </c>
      <c r="H24" s="13">
        <f t="shared" si="0"/>
        <v>2</v>
      </c>
      <c r="I24" s="12"/>
      <c r="J24" s="14">
        <f t="shared" si="1"/>
        <v>2</v>
      </c>
      <c r="K24">
        <v>2</v>
      </c>
      <c r="L24" s="34">
        <f t="shared" si="2"/>
        <v>0</v>
      </c>
    </row>
    <row r="25" spans="1:12" ht="15.75" x14ac:dyDescent="0.25">
      <c r="A25">
        <v>599037</v>
      </c>
      <c r="B25" s="9">
        <v>625</v>
      </c>
      <c r="C25" s="10" t="s">
        <v>30</v>
      </c>
      <c r="D25" s="11"/>
      <c r="E25" s="36">
        <v>0</v>
      </c>
      <c r="F25" s="36">
        <v>0</v>
      </c>
      <c r="G25" s="36">
        <v>0</v>
      </c>
      <c r="H25" s="13">
        <f t="shared" si="0"/>
        <v>0</v>
      </c>
      <c r="I25" s="12"/>
      <c r="J25" s="14">
        <f t="shared" si="1"/>
        <v>0</v>
      </c>
      <c r="L25" s="34">
        <f t="shared" si="2"/>
        <v>0</v>
      </c>
    </row>
    <row r="26" spans="1:12" ht="15.75" x14ac:dyDescent="0.25">
      <c r="A26">
        <v>599036</v>
      </c>
      <c r="B26" s="9">
        <v>625</v>
      </c>
      <c r="C26" s="10" t="s">
        <v>31</v>
      </c>
      <c r="D26" s="11"/>
      <c r="E26" s="36">
        <v>0</v>
      </c>
      <c r="F26" s="36">
        <v>0</v>
      </c>
      <c r="G26" s="36">
        <v>0</v>
      </c>
      <c r="H26" s="13">
        <f t="shared" si="0"/>
        <v>0</v>
      </c>
      <c r="I26" s="12"/>
      <c r="J26" s="14">
        <f t="shared" si="1"/>
        <v>0</v>
      </c>
      <c r="L26" s="34">
        <f t="shared" si="2"/>
        <v>0</v>
      </c>
    </row>
    <row r="27" spans="1:12" ht="15.75" x14ac:dyDescent="0.25">
      <c r="A27">
        <v>599035</v>
      </c>
      <c r="B27" s="9">
        <v>625</v>
      </c>
      <c r="C27" s="10" t="s">
        <v>32</v>
      </c>
      <c r="D27" s="11">
        <v>16</v>
      </c>
      <c r="E27" s="36">
        <v>10</v>
      </c>
      <c r="F27" s="36">
        <v>8</v>
      </c>
      <c r="G27" s="36">
        <v>10</v>
      </c>
      <c r="H27" s="13">
        <f t="shared" si="0"/>
        <v>44</v>
      </c>
      <c r="I27" s="12"/>
      <c r="J27" s="14">
        <f t="shared" si="1"/>
        <v>44</v>
      </c>
      <c r="K27">
        <v>45</v>
      </c>
      <c r="L27" s="37">
        <f t="shared" si="2"/>
        <v>1</v>
      </c>
    </row>
    <row r="28" spans="1:12" ht="15.75" x14ac:dyDescent="0.25">
      <c r="B28" s="9">
        <v>625</v>
      </c>
      <c r="C28" s="10" t="s">
        <v>33</v>
      </c>
      <c r="D28" s="11"/>
      <c r="E28" s="36">
        <v>0</v>
      </c>
      <c r="F28" s="36">
        <v>0</v>
      </c>
      <c r="G28" s="36">
        <v>0</v>
      </c>
      <c r="H28" s="13">
        <f t="shared" si="0"/>
        <v>0</v>
      </c>
      <c r="I28" s="12"/>
      <c r="J28" s="14">
        <f t="shared" si="1"/>
        <v>0</v>
      </c>
      <c r="L28" s="34">
        <f t="shared" si="2"/>
        <v>0</v>
      </c>
    </row>
    <row r="29" spans="1:12" ht="15.75" x14ac:dyDescent="0.25">
      <c r="B29" s="9">
        <v>625</v>
      </c>
      <c r="C29" s="10" t="s">
        <v>27</v>
      </c>
      <c r="D29" s="11"/>
      <c r="E29" s="36">
        <v>0</v>
      </c>
      <c r="F29" s="36">
        <v>0</v>
      </c>
      <c r="G29" s="36">
        <v>0</v>
      </c>
      <c r="H29" s="13">
        <f t="shared" si="0"/>
        <v>0</v>
      </c>
      <c r="I29" s="12"/>
      <c r="J29" s="14">
        <f t="shared" si="1"/>
        <v>0</v>
      </c>
      <c r="L29" s="34">
        <f t="shared" si="2"/>
        <v>0</v>
      </c>
    </row>
    <row r="30" spans="1:12" ht="15.75" x14ac:dyDescent="0.25">
      <c r="B30" s="15">
        <v>400</v>
      </c>
      <c r="C30" s="16" t="s">
        <v>11</v>
      </c>
      <c r="D30" s="11"/>
      <c r="E30" s="36">
        <v>0</v>
      </c>
      <c r="F30" s="36">
        <v>0</v>
      </c>
      <c r="G30" s="36">
        <v>0</v>
      </c>
      <c r="H30" s="13">
        <f t="shared" si="0"/>
        <v>0</v>
      </c>
      <c r="I30" s="12"/>
      <c r="J30" s="14">
        <f t="shared" si="1"/>
        <v>0</v>
      </c>
      <c r="L30" s="34">
        <f t="shared" si="2"/>
        <v>0</v>
      </c>
    </row>
    <row r="31" spans="1:12" ht="15.75" x14ac:dyDescent="0.25">
      <c r="B31" s="9">
        <v>400</v>
      </c>
      <c r="C31" s="10" t="s">
        <v>14</v>
      </c>
      <c r="D31" s="11"/>
      <c r="E31" s="36">
        <v>0</v>
      </c>
      <c r="F31" s="36">
        <v>0</v>
      </c>
      <c r="G31" s="36">
        <v>0</v>
      </c>
      <c r="H31" s="13">
        <f t="shared" si="0"/>
        <v>0</v>
      </c>
      <c r="I31" s="12"/>
      <c r="J31" s="14">
        <f t="shared" si="1"/>
        <v>0</v>
      </c>
      <c r="L31" s="34">
        <f t="shared" si="2"/>
        <v>0</v>
      </c>
    </row>
    <row r="32" spans="1:12" ht="15.75" x14ac:dyDescent="0.25">
      <c r="B32" s="9">
        <v>400</v>
      </c>
      <c r="C32" s="10" t="s">
        <v>16</v>
      </c>
      <c r="D32" s="11"/>
      <c r="E32" s="36">
        <v>0</v>
      </c>
      <c r="F32" s="36">
        <v>0</v>
      </c>
      <c r="G32" s="36">
        <v>0</v>
      </c>
      <c r="H32" s="13">
        <f t="shared" si="0"/>
        <v>0</v>
      </c>
      <c r="I32" s="12"/>
      <c r="J32" s="14">
        <f t="shared" si="1"/>
        <v>0</v>
      </c>
      <c r="L32" s="34">
        <f t="shared" si="2"/>
        <v>0</v>
      </c>
    </row>
    <row r="33" spans="1:12" ht="15.75" x14ac:dyDescent="0.25">
      <c r="A33">
        <v>522495</v>
      </c>
      <c r="B33" s="9">
        <v>360</v>
      </c>
      <c r="C33" s="10" t="s">
        <v>34</v>
      </c>
      <c r="D33" s="11"/>
      <c r="E33" s="36">
        <v>0</v>
      </c>
      <c r="F33" s="36">
        <v>0</v>
      </c>
      <c r="G33" s="36">
        <v>0</v>
      </c>
      <c r="H33" s="13">
        <f t="shared" si="0"/>
        <v>0</v>
      </c>
      <c r="I33" s="12"/>
      <c r="J33" s="14">
        <f t="shared" si="1"/>
        <v>0</v>
      </c>
      <c r="K33">
        <v>1</v>
      </c>
      <c r="L33" s="37">
        <f t="shared" si="2"/>
        <v>1</v>
      </c>
    </row>
    <row r="34" spans="1:12" ht="15.75" x14ac:dyDescent="0.25">
      <c r="A34">
        <v>501504</v>
      </c>
      <c r="B34" s="9">
        <v>360</v>
      </c>
      <c r="C34" s="10" t="s">
        <v>35</v>
      </c>
      <c r="D34" s="11">
        <v>10</v>
      </c>
      <c r="E34" s="36">
        <v>10</v>
      </c>
      <c r="F34" s="36">
        <v>0</v>
      </c>
      <c r="G34" s="36">
        <v>15</v>
      </c>
      <c r="H34" s="13">
        <f t="shared" si="0"/>
        <v>35</v>
      </c>
      <c r="I34" s="12"/>
      <c r="J34" s="14">
        <f t="shared" si="1"/>
        <v>35</v>
      </c>
      <c r="K34">
        <v>35</v>
      </c>
      <c r="L34" s="34">
        <f t="shared" si="2"/>
        <v>0</v>
      </c>
    </row>
    <row r="35" spans="1:12" ht="15.75" x14ac:dyDescent="0.25">
      <c r="A35">
        <v>500713</v>
      </c>
      <c r="B35" s="9">
        <v>360</v>
      </c>
      <c r="C35" s="10" t="s">
        <v>36</v>
      </c>
      <c r="D35" s="11"/>
      <c r="E35" s="36">
        <v>0</v>
      </c>
      <c r="F35" s="36">
        <v>0</v>
      </c>
      <c r="G35" s="36">
        <v>0</v>
      </c>
      <c r="H35" s="13">
        <f t="shared" si="0"/>
        <v>0</v>
      </c>
      <c r="I35" s="12"/>
      <c r="J35" s="14">
        <f t="shared" si="1"/>
        <v>0</v>
      </c>
      <c r="L35" s="34">
        <f t="shared" si="2"/>
        <v>0</v>
      </c>
    </row>
    <row r="36" spans="1:12" ht="15.75" x14ac:dyDescent="0.25">
      <c r="A36">
        <v>523271</v>
      </c>
      <c r="B36" s="9">
        <v>400</v>
      </c>
      <c r="C36" s="17" t="s">
        <v>20</v>
      </c>
      <c r="D36" s="11">
        <v>1</v>
      </c>
      <c r="E36" s="36">
        <v>0</v>
      </c>
      <c r="F36" s="36">
        <v>0</v>
      </c>
      <c r="G36" s="36">
        <v>0</v>
      </c>
      <c r="H36" s="13">
        <f t="shared" si="0"/>
        <v>1</v>
      </c>
      <c r="I36" s="12"/>
      <c r="J36" s="14">
        <f t="shared" si="1"/>
        <v>1</v>
      </c>
      <c r="K36">
        <v>1</v>
      </c>
      <c r="L36" s="34">
        <f t="shared" si="2"/>
        <v>0</v>
      </c>
    </row>
    <row r="37" spans="1:12" ht="15.75" x14ac:dyDescent="0.25">
      <c r="A37">
        <v>521721</v>
      </c>
      <c r="B37" s="9">
        <v>400</v>
      </c>
      <c r="C37" s="17" t="s">
        <v>13</v>
      </c>
      <c r="D37" s="11">
        <v>143</v>
      </c>
      <c r="E37" s="36">
        <v>100</v>
      </c>
      <c r="F37" s="36">
        <v>15</v>
      </c>
      <c r="G37" s="36">
        <v>30</v>
      </c>
      <c r="H37" s="13">
        <f t="shared" si="0"/>
        <v>288</v>
      </c>
      <c r="I37" s="12"/>
      <c r="J37" s="14">
        <f t="shared" si="1"/>
        <v>288</v>
      </c>
      <c r="K37">
        <v>288</v>
      </c>
      <c r="L37" s="34">
        <f t="shared" si="2"/>
        <v>0</v>
      </c>
    </row>
    <row r="38" spans="1:12" ht="15.75" x14ac:dyDescent="0.25">
      <c r="B38" s="9">
        <v>360</v>
      </c>
      <c r="C38" s="10" t="s">
        <v>27</v>
      </c>
      <c r="D38" s="11"/>
      <c r="E38" s="36">
        <v>0</v>
      </c>
      <c r="F38" s="36">
        <v>0</v>
      </c>
      <c r="G38" s="36">
        <v>0</v>
      </c>
      <c r="H38" s="13">
        <f t="shared" si="0"/>
        <v>0</v>
      </c>
      <c r="I38" s="12"/>
      <c r="J38" s="14">
        <f t="shared" si="1"/>
        <v>0</v>
      </c>
      <c r="L38" s="34">
        <f t="shared" si="2"/>
        <v>0</v>
      </c>
    </row>
    <row r="39" spans="1:12" ht="15.75" x14ac:dyDescent="0.25">
      <c r="B39" s="9">
        <v>360</v>
      </c>
      <c r="C39" s="10" t="s">
        <v>37</v>
      </c>
      <c r="D39" s="11"/>
      <c r="E39" s="36">
        <v>0</v>
      </c>
      <c r="F39" s="36">
        <v>0</v>
      </c>
      <c r="G39" s="36">
        <v>0</v>
      </c>
      <c r="H39" s="13">
        <f t="shared" si="0"/>
        <v>0</v>
      </c>
      <c r="I39" s="12"/>
      <c r="J39" s="14">
        <f t="shared" si="1"/>
        <v>0</v>
      </c>
      <c r="L39" s="34">
        <f t="shared" si="2"/>
        <v>0</v>
      </c>
    </row>
    <row r="40" spans="1:12" ht="15.75" x14ac:dyDescent="0.25">
      <c r="B40" s="9">
        <v>360</v>
      </c>
      <c r="C40" s="10" t="s">
        <v>38</v>
      </c>
      <c r="D40" s="11"/>
      <c r="E40" s="36">
        <v>0</v>
      </c>
      <c r="F40" s="36">
        <v>0</v>
      </c>
      <c r="G40" s="36">
        <v>0</v>
      </c>
      <c r="H40" s="13">
        <f t="shared" si="0"/>
        <v>0</v>
      </c>
      <c r="I40" s="12"/>
      <c r="J40" s="14">
        <f t="shared" si="1"/>
        <v>0</v>
      </c>
      <c r="L40" s="34">
        <f t="shared" si="2"/>
        <v>0</v>
      </c>
    </row>
    <row r="41" spans="1:12" ht="15.75" x14ac:dyDescent="0.25">
      <c r="B41" s="9">
        <v>375</v>
      </c>
      <c r="C41" s="10" t="s">
        <v>39</v>
      </c>
      <c r="D41" s="11"/>
      <c r="E41" s="36">
        <v>0</v>
      </c>
      <c r="F41" s="36">
        <v>0</v>
      </c>
      <c r="G41" s="36">
        <v>0</v>
      </c>
      <c r="H41" s="13">
        <f t="shared" si="0"/>
        <v>0</v>
      </c>
      <c r="I41" s="12"/>
      <c r="J41" s="14">
        <f t="shared" si="1"/>
        <v>0</v>
      </c>
      <c r="L41" s="34">
        <f t="shared" si="2"/>
        <v>0</v>
      </c>
    </row>
    <row r="42" spans="1:12" ht="15.75" x14ac:dyDescent="0.25">
      <c r="A42">
        <v>598908</v>
      </c>
      <c r="B42" s="9">
        <v>355</v>
      </c>
      <c r="C42" s="10" t="s">
        <v>40</v>
      </c>
      <c r="D42" s="11"/>
      <c r="E42" s="36">
        <v>0</v>
      </c>
      <c r="F42" s="36">
        <v>0</v>
      </c>
      <c r="G42" s="36">
        <v>0</v>
      </c>
      <c r="H42" s="13">
        <f t="shared" si="0"/>
        <v>0</v>
      </c>
      <c r="I42" s="12"/>
      <c r="J42" s="14">
        <f t="shared" si="1"/>
        <v>0</v>
      </c>
      <c r="L42" s="34">
        <f t="shared" si="2"/>
        <v>0</v>
      </c>
    </row>
    <row r="43" spans="1:12" ht="15.75" x14ac:dyDescent="0.25">
      <c r="A43">
        <v>599149</v>
      </c>
      <c r="B43" s="9">
        <v>300</v>
      </c>
      <c r="C43" s="17" t="s">
        <v>41</v>
      </c>
      <c r="D43" s="11">
        <v>25</v>
      </c>
      <c r="E43" s="36">
        <v>5</v>
      </c>
      <c r="F43" s="36">
        <v>5</v>
      </c>
      <c r="G43" s="36">
        <v>5</v>
      </c>
      <c r="H43" s="13">
        <f t="shared" si="0"/>
        <v>40</v>
      </c>
      <c r="I43" s="12"/>
      <c r="J43" s="14">
        <f t="shared" si="1"/>
        <v>40</v>
      </c>
      <c r="K43">
        <v>40</v>
      </c>
      <c r="L43" s="34">
        <f t="shared" si="2"/>
        <v>0</v>
      </c>
    </row>
    <row r="44" spans="1:12" ht="15.75" x14ac:dyDescent="0.25">
      <c r="B44" s="9">
        <v>355</v>
      </c>
      <c r="C44" s="10" t="s">
        <v>42</v>
      </c>
      <c r="D44" s="11"/>
      <c r="E44" s="36">
        <v>0</v>
      </c>
      <c r="F44" s="36">
        <v>0</v>
      </c>
      <c r="G44" s="36">
        <v>0</v>
      </c>
      <c r="H44" s="13">
        <f t="shared" si="0"/>
        <v>0</v>
      </c>
      <c r="I44" s="12"/>
      <c r="J44" s="14">
        <f t="shared" si="1"/>
        <v>0</v>
      </c>
      <c r="L44" s="34">
        <f t="shared" si="2"/>
        <v>0</v>
      </c>
    </row>
    <row r="45" spans="1:12" ht="15.75" x14ac:dyDescent="0.25">
      <c r="B45" s="9">
        <v>355</v>
      </c>
      <c r="C45" s="10" t="s">
        <v>43</v>
      </c>
      <c r="D45" s="11"/>
      <c r="E45" s="36">
        <v>0</v>
      </c>
      <c r="F45" s="36">
        <v>0</v>
      </c>
      <c r="G45" s="36">
        <v>0</v>
      </c>
      <c r="H45" s="13">
        <f t="shared" si="0"/>
        <v>0</v>
      </c>
      <c r="I45" s="12"/>
      <c r="J45" s="14">
        <f t="shared" si="1"/>
        <v>0</v>
      </c>
      <c r="L45" s="34">
        <f t="shared" si="2"/>
        <v>0</v>
      </c>
    </row>
    <row r="46" spans="1:12" ht="15.75" x14ac:dyDescent="0.25">
      <c r="B46" s="9">
        <v>355</v>
      </c>
      <c r="C46" s="10" t="s">
        <v>44</v>
      </c>
      <c r="D46" s="11"/>
      <c r="E46" s="36">
        <v>0</v>
      </c>
      <c r="F46" s="36">
        <v>0</v>
      </c>
      <c r="G46" s="36">
        <v>0</v>
      </c>
      <c r="H46" s="13">
        <f t="shared" si="0"/>
        <v>0</v>
      </c>
      <c r="I46" s="12"/>
      <c r="J46" s="14">
        <f t="shared" si="1"/>
        <v>0</v>
      </c>
      <c r="L46" s="34">
        <f t="shared" si="2"/>
        <v>0</v>
      </c>
    </row>
    <row r="47" spans="1:12" ht="15.75" x14ac:dyDescent="0.25">
      <c r="B47" s="9">
        <v>355</v>
      </c>
      <c r="C47" s="10" t="s">
        <v>45</v>
      </c>
      <c r="D47" s="11"/>
      <c r="E47" s="36">
        <v>0</v>
      </c>
      <c r="F47" s="36">
        <v>0</v>
      </c>
      <c r="G47" s="36">
        <v>0</v>
      </c>
      <c r="H47" s="13">
        <f t="shared" si="0"/>
        <v>0</v>
      </c>
      <c r="I47" s="12"/>
      <c r="J47" s="14">
        <f t="shared" si="1"/>
        <v>0</v>
      </c>
      <c r="L47" s="34">
        <f t="shared" si="2"/>
        <v>0</v>
      </c>
    </row>
    <row r="48" spans="1:12" ht="15.75" x14ac:dyDescent="0.25">
      <c r="B48" s="9">
        <v>355</v>
      </c>
      <c r="C48" s="10" t="s">
        <v>46</v>
      </c>
      <c r="D48" s="11"/>
      <c r="E48" s="36">
        <v>0</v>
      </c>
      <c r="F48" s="36">
        <v>0</v>
      </c>
      <c r="G48" s="36">
        <v>0</v>
      </c>
      <c r="H48" s="13">
        <f t="shared" si="0"/>
        <v>0</v>
      </c>
      <c r="I48" s="12"/>
      <c r="J48" s="14">
        <f t="shared" si="1"/>
        <v>0</v>
      </c>
      <c r="L48" s="34">
        <f t="shared" si="2"/>
        <v>0</v>
      </c>
    </row>
    <row r="49" spans="1:12" ht="15.75" x14ac:dyDescent="0.25">
      <c r="B49" s="9">
        <v>625</v>
      </c>
      <c r="C49" s="10" t="s">
        <v>41</v>
      </c>
      <c r="D49" s="11"/>
      <c r="E49" s="36">
        <v>0</v>
      </c>
      <c r="F49" s="36">
        <v>0</v>
      </c>
      <c r="G49" s="36">
        <v>0</v>
      </c>
      <c r="H49" s="13">
        <f t="shared" si="0"/>
        <v>0</v>
      </c>
      <c r="I49" s="12"/>
      <c r="J49" s="14">
        <f t="shared" si="1"/>
        <v>0</v>
      </c>
      <c r="L49" s="34">
        <f t="shared" si="2"/>
        <v>0</v>
      </c>
    </row>
    <row r="50" spans="1:12" ht="15.75" x14ac:dyDescent="0.25">
      <c r="B50" s="9">
        <v>625</v>
      </c>
      <c r="C50" s="10" t="s">
        <v>47</v>
      </c>
      <c r="D50" s="11"/>
      <c r="E50" s="36">
        <v>0</v>
      </c>
      <c r="F50" s="36">
        <v>0</v>
      </c>
      <c r="G50" s="36">
        <v>0</v>
      </c>
      <c r="H50" s="13">
        <f t="shared" si="0"/>
        <v>0</v>
      </c>
      <c r="I50" s="12"/>
      <c r="J50" s="14">
        <f t="shared" si="1"/>
        <v>0</v>
      </c>
      <c r="L50" s="34">
        <f t="shared" si="2"/>
        <v>0</v>
      </c>
    </row>
    <row r="51" spans="1:12" ht="15.75" x14ac:dyDescent="0.25">
      <c r="A51">
        <v>517209</v>
      </c>
      <c r="B51" s="18">
        <v>360</v>
      </c>
      <c r="C51" s="10" t="s">
        <v>47</v>
      </c>
      <c r="D51" s="11">
        <v>141</v>
      </c>
      <c r="E51" s="36">
        <v>2</v>
      </c>
      <c r="F51" s="36">
        <v>5</v>
      </c>
      <c r="G51" s="36">
        <v>4</v>
      </c>
      <c r="H51" s="13">
        <f t="shared" si="0"/>
        <v>152</v>
      </c>
      <c r="I51" s="12"/>
      <c r="J51" s="14">
        <f t="shared" si="1"/>
        <v>152</v>
      </c>
      <c r="K51">
        <v>153</v>
      </c>
      <c r="L51" s="37">
        <f t="shared" si="2"/>
        <v>1</v>
      </c>
    </row>
    <row r="52" spans="1:12" ht="15.75" x14ac:dyDescent="0.25">
      <c r="B52" s="18">
        <v>625</v>
      </c>
      <c r="C52" s="10" t="s">
        <v>48</v>
      </c>
      <c r="D52" s="11"/>
      <c r="E52" s="36">
        <v>0</v>
      </c>
      <c r="F52" s="36">
        <v>0</v>
      </c>
      <c r="G52" s="36">
        <v>0</v>
      </c>
      <c r="H52" s="13">
        <f t="shared" si="0"/>
        <v>0</v>
      </c>
      <c r="I52" s="12"/>
      <c r="J52" s="14">
        <f t="shared" si="1"/>
        <v>0</v>
      </c>
      <c r="L52" s="34">
        <f t="shared" si="2"/>
        <v>0</v>
      </c>
    </row>
    <row r="53" spans="1:12" ht="15.75" x14ac:dyDescent="0.25">
      <c r="A53">
        <v>522919</v>
      </c>
      <c r="B53" s="19">
        <v>625</v>
      </c>
      <c r="C53" s="17" t="s">
        <v>49</v>
      </c>
      <c r="D53" s="11">
        <v>69</v>
      </c>
      <c r="E53" s="36">
        <v>11</v>
      </c>
      <c r="F53" s="36">
        <v>30</v>
      </c>
      <c r="G53" s="36">
        <v>10</v>
      </c>
      <c r="H53" s="13">
        <f t="shared" si="0"/>
        <v>120</v>
      </c>
      <c r="I53" s="12"/>
      <c r="J53" s="14">
        <f>H53-I53</f>
        <v>120</v>
      </c>
      <c r="K53">
        <v>120</v>
      </c>
      <c r="L53" s="34">
        <f t="shared" si="2"/>
        <v>0</v>
      </c>
    </row>
    <row r="54" spans="1:12" ht="15.75" x14ac:dyDescent="0.25">
      <c r="A54">
        <v>522918</v>
      </c>
      <c r="B54" s="18">
        <v>375</v>
      </c>
      <c r="C54" s="10" t="s">
        <v>48</v>
      </c>
      <c r="D54" s="11">
        <v>114</v>
      </c>
      <c r="E54" s="36">
        <v>9</v>
      </c>
      <c r="F54" s="36">
        <v>32</v>
      </c>
      <c r="G54" s="36">
        <v>5</v>
      </c>
      <c r="H54" s="13">
        <f t="shared" si="0"/>
        <v>160</v>
      </c>
      <c r="I54" s="12"/>
      <c r="J54" s="14">
        <f t="shared" si="1"/>
        <v>160</v>
      </c>
      <c r="K54">
        <v>162</v>
      </c>
      <c r="L54" s="37">
        <f t="shared" si="2"/>
        <v>2</v>
      </c>
    </row>
    <row r="55" spans="1:12" ht="15.75" x14ac:dyDescent="0.25">
      <c r="B55" s="20">
        <v>375</v>
      </c>
      <c r="C55" s="21" t="s">
        <v>50</v>
      </c>
      <c r="D55" s="11"/>
      <c r="E55" s="36">
        <v>0</v>
      </c>
      <c r="F55" s="36">
        <v>0</v>
      </c>
      <c r="G55" s="36">
        <v>0</v>
      </c>
      <c r="H55" s="13">
        <f t="shared" si="0"/>
        <v>0</v>
      </c>
      <c r="I55" s="12"/>
      <c r="J55" s="14">
        <f t="shared" si="1"/>
        <v>0</v>
      </c>
      <c r="L55" s="34">
        <f t="shared" si="2"/>
        <v>0</v>
      </c>
    </row>
    <row r="56" spans="1:12" ht="15.75" x14ac:dyDescent="0.25">
      <c r="A56">
        <v>522920</v>
      </c>
      <c r="B56" s="22">
        <v>1.3</v>
      </c>
      <c r="C56" s="23" t="s">
        <v>51</v>
      </c>
      <c r="D56" s="11"/>
      <c r="E56" s="36">
        <v>0</v>
      </c>
      <c r="F56" s="36">
        <v>0</v>
      </c>
      <c r="G56" s="36">
        <v>0</v>
      </c>
      <c r="H56" s="13">
        <f t="shared" si="0"/>
        <v>0</v>
      </c>
      <c r="I56" s="12"/>
      <c r="J56" s="14">
        <f>H56-I56</f>
        <v>0</v>
      </c>
      <c r="L56" s="34">
        <f t="shared" si="2"/>
        <v>0</v>
      </c>
    </row>
    <row r="57" spans="1:12" ht="15.75" x14ac:dyDescent="0.25">
      <c r="A57">
        <v>523533</v>
      </c>
      <c r="B57" s="22">
        <v>1000</v>
      </c>
      <c r="C57" s="23" t="s">
        <v>48</v>
      </c>
      <c r="D57" s="11">
        <v>65</v>
      </c>
      <c r="E57" s="36">
        <v>15</v>
      </c>
      <c r="F57" s="36">
        <v>15</v>
      </c>
      <c r="G57" s="36">
        <v>10</v>
      </c>
      <c r="H57" s="13">
        <f t="shared" si="0"/>
        <v>105</v>
      </c>
      <c r="I57" s="12"/>
      <c r="J57" s="14">
        <f>H57-I57</f>
        <v>105</v>
      </c>
      <c r="K57">
        <v>107</v>
      </c>
      <c r="L57" s="37">
        <f t="shared" si="2"/>
        <v>2</v>
      </c>
    </row>
    <row r="58" spans="1:12" ht="15.75" x14ac:dyDescent="0.25">
      <c r="B58" s="9">
        <v>3300</v>
      </c>
      <c r="C58" s="10" t="s">
        <v>48</v>
      </c>
      <c r="D58" s="11"/>
      <c r="E58" s="36">
        <v>0</v>
      </c>
      <c r="F58" s="36">
        <v>0</v>
      </c>
      <c r="G58" s="36">
        <v>0</v>
      </c>
      <c r="H58" s="13">
        <f t="shared" si="0"/>
        <v>0</v>
      </c>
      <c r="I58" s="12"/>
      <c r="J58" s="14">
        <f t="shared" ref="J58:J121" si="3">H58-I58</f>
        <v>0</v>
      </c>
      <c r="L58" s="34">
        <f t="shared" si="2"/>
        <v>0</v>
      </c>
    </row>
    <row r="59" spans="1:12" ht="15.75" x14ac:dyDescent="0.25">
      <c r="A59">
        <v>598820</v>
      </c>
      <c r="B59" s="18">
        <v>145</v>
      </c>
      <c r="C59" s="10" t="s">
        <v>52</v>
      </c>
      <c r="D59" s="11"/>
      <c r="E59" s="36">
        <v>0</v>
      </c>
      <c r="F59" s="36">
        <v>0</v>
      </c>
      <c r="G59" s="36">
        <v>0</v>
      </c>
      <c r="H59" s="13">
        <f t="shared" si="0"/>
        <v>0</v>
      </c>
      <c r="I59" s="12"/>
      <c r="J59" s="14">
        <f t="shared" si="3"/>
        <v>0</v>
      </c>
      <c r="L59" s="34">
        <f t="shared" si="2"/>
        <v>0</v>
      </c>
    </row>
    <row r="60" spans="1:12" ht="15.75" x14ac:dyDescent="0.25">
      <c r="A60">
        <v>598821</v>
      </c>
      <c r="B60" s="9">
        <v>145</v>
      </c>
      <c r="C60" s="10" t="s">
        <v>53</v>
      </c>
      <c r="D60" s="11">
        <v>9</v>
      </c>
      <c r="E60" s="36">
        <v>30</v>
      </c>
      <c r="F60" s="36">
        <v>9</v>
      </c>
      <c r="G60" s="36">
        <v>25</v>
      </c>
      <c r="H60" s="13">
        <f t="shared" si="0"/>
        <v>73</v>
      </c>
      <c r="I60" s="12"/>
      <c r="J60" s="14">
        <f t="shared" si="3"/>
        <v>73</v>
      </c>
      <c r="K60">
        <v>83</v>
      </c>
      <c r="L60" s="37">
        <f t="shared" si="2"/>
        <v>10</v>
      </c>
    </row>
    <row r="61" spans="1:12" ht="15.75" x14ac:dyDescent="0.25">
      <c r="B61" s="9">
        <v>145</v>
      </c>
      <c r="C61" s="10" t="s">
        <v>54</v>
      </c>
      <c r="D61" s="11"/>
      <c r="E61" s="36">
        <v>0</v>
      </c>
      <c r="F61" s="36">
        <v>0</v>
      </c>
      <c r="G61" s="36">
        <v>0</v>
      </c>
      <c r="H61" s="13">
        <f t="shared" si="0"/>
        <v>0</v>
      </c>
      <c r="I61" s="12"/>
      <c r="J61" s="14">
        <f t="shared" si="3"/>
        <v>0</v>
      </c>
      <c r="L61" s="34">
        <f t="shared" si="2"/>
        <v>0</v>
      </c>
    </row>
    <row r="62" spans="1:12" ht="15.75" x14ac:dyDescent="0.25">
      <c r="B62" s="9">
        <v>145</v>
      </c>
      <c r="C62" s="10" t="s">
        <v>55</v>
      </c>
      <c r="D62" s="11"/>
      <c r="E62" s="36">
        <v>0</v>
      </c>
      <c r="F62" s="36">
        <v>0</v>
      </c>
      <c r="G62" s="36">
        <v>0</v>
      </c>
      <c r="H62" s="13">
        <f t="shared" si="0"/>
        <v>0</v>
      </c>
      <c r="I62" s="12"/>
      <c r="J62" s="14">
        <f t="shared" si="3"/>
        <v>0</v>
      </c>
      <c r="L62" s="34">
        <f t="shared" si="2"/>
        <v>0</v>
      </c>
    </row>
    <row r="63" spans="1:12" ht="15.75" x14ac:dyDescent="0.25">
      <c r="B63" s="9">
        <v>145</v>
      </c>
      <c r="C63" s="10" t="s">
        <v>56</v>
      </c>
      <c r="D63" s="11"/>
      <c r="E63" s="36">
        <v>0</v>
      </c>
      <c r="F63" s="36">
        <v>0</v>
      </c>
      <c r="G63" s="36">
        <v>0</v>
      </c>
      <c r="H63" s="13">
        <f t="shared" si="0"/>
        <v>0</v>
      </c>
      <c r="I63" s="12"/>
      <c r="J63" s="14">
        <f t="shared" si="3"/>
        <v>0</v>
      </c>
      <c r="L63" s="34">
        <f t="shared" si="2"/>
        <v>0</v>
      </c>
    </row>
    <row r="64" spans="1:12" ht="15.75" x14ac:dyDescent="0.25">
      <c r="B64" s="9">
        <v>145</v>
      </c>
      <c r="C64" s="10" t="s">
        <v>57</v>
      </c>
      <c r="D64" s="11"/>
      <c r="E64" s="36">
        <v>0</v>
      </c>
      <c r="F64" s="36">
        <v>0</v>
      </c>
      <c r="G64" s="36">
        <v>0</v>
      </c>
      <c r="H64" s="13">
        <f t="shared" si="0"/>
        <v>0</v>
      </c>
      <c r="I64" s="12"/>
      <c r="J64" s="14">
        <f t="shared" si="3"/>
        <v>0</v>
      </c>
      <c r="L64" s="34">
        <f t="shared" si="2"/>
        <v>0</v>
      </c>
    </row>
    <row r="65" spans="1:12" ht="15.75" x14ac:dyDescent="0.25">
      <c r="B65" s="9">
        <v>145</v>
      </c>
      <c r="C65" s="10" t="s">
        <v>58</v>
      </c>
      <c r="D65" s="11"/>
      <c r="E65" s="36">
        <v>0</v>
      </c>
      <c r="F65" s="36">
        <v>0</v>
      </c>
      <c r="G65" s="36">
        <v>0</v>
      </c>
      <c r="H65" s="13">
        <f t="shared" si="0"/>
        <v>0</v>
      </c>
      <c r="I65" s="12"/>
      <c r="J65" s="14">
        <f t="shared" si="3"/>
        <v>0</v>
      </c>
      <c r="L65" s="34">
        <f t="shared" si="2"/>
        <v>0</v>
      </c>
    </row>
    <row r="66" spans="1:12" ht="15.75" x14ac:dyDescent="0.25">
      <c r="B66" s="9">
        <v>145</v>
      </c>
      <c r="C66" s="10" t="s">
        <v>59</v>
      </c>
      <c r="D66" s="11"/>
      <c r="E66" s="36">
        <v>0</v>
      </c>
      <c r="F66" s="36">
        <v>0</v>
      </c>
      <c r="G66" s="36">
        <v>0</v>
      </c>
      <c r="H66" s="13">
        <f t="shared" si="0"/>
        <v>0</v>
      </c>
      <c r="I66" s="12"/>
      <c r="J66" s="14">
        <f t="shared" si="3"/>
        <v>0</v>
      </c>
      <c r="L66" s="34">
        <f t="shared" si="2"/>
        <v>0</v>
      </c>
    </row>
    <row r="67" spans="1:12" ht="15.75" x14ac:dyDescent="0.25">
      <c r="B67" s="9"/>
      <c r="C67" s="10" t="s">
        <v>60</v>
      </c>
      <c r="D67" s="11"/>
      <c r="E67" s="36">
        <v>0</v>
      </c>
      <c r="F67" s="36">
        <v>0</v>
      </c>
      <c r="G67" s="36">
        <v>0</v>
      </c>
      <c r="H67" s="13">
        <f t="shared" ref="H67:H130" si="4">D67+E67+F67+G67</f>
        <v>0</v>
      </c>
      <c r="I67" s="12"/>
      <c r="J67" s="14">
        <f t="shared" si="3"/>
        <v>0</v>
      </c>
      <c r="L67" s="34">
        <f t="shared" ref="L67:L130" si="5">K67-H67</f>
        <v>0</v>
      </c>
    </row>
    <row r="68" spans="1:12" ht="15.75" x14ac:dyDescent="0.25">
      <c r="A68">
        <v>598822</v>
      </c>
      <c r="B68" s="9">
        <v>250</v>
      </c>
      <c r="C68" s="10" t="s">
        <v>61</v>
      </c>
      <c r="D68" s="11"/>
      <c r="E68" s="36">
        <v>0</v>
      </c>
      <c r="F68" s="36">
        <v>0</v>
      </c>
      <c r="G68" s="36">
        <v>0</v>
      </c>
      <c r="H68" s="13">
        <f t="shared" si="4"/>
        <v>0</v>
      </c>
      <c r="I68" s="12"/>
      <c r="J68" s="14">
        <f t="shared" si="3"/>
        <v>0</v>
      </c>
      <c r="L68" s="34">
        <f t="shared" si="5"/>
        <v>0</v>
      </c>
    </row>
    <row r="69" spans="1:12" ht="15.75" x14ac:dyDescent="0.25">
      <c r="A69">
        <v>598823</v>
      </c>
      <c r="B69" s="9">
        <v>250</v>
      </c>
      <c r="C69" s="10" t="s">
        <v>62</v>
      </c>
      <c r="D69" s="11"/>
      <c r="E69" s="36">
        <v>0</v>
      </c>
      <c r="F69" s="36">
        <v>0</v>
      </c>
      <c r="G69" s="36">
        <v>0</v>
      </c>
      <c r="H69" s="13">
        <f t="shared" si="4"/>
        <v>0</v>
      </c>
      <c r="I69" s="12"/>
      <c r="J69" s="14">
        <f t="shared" si="3"/>
        <v>0</v>
      </c>
      <c r="L69" s="34">
        <f t="shared" si="5"/>
        <v>0</v>
      </c>
    </row>
    <row r="70" spans="1:12" ht="15.75" x14ac:dyDescent="0.25">
      <c r="B70" s="9">
        <v>250</v>
      </c>
      <c r="C70" s="10" t="s">
        <v>54</v>
      </c>
      <c r="D70" s="11"/>
      <c r="E70" s="36">
        <v>0</v>
      </c>
      <c r="F70" s="36">
        <v>0</v>
      </c>
      <c r="G70" s="36">
        <v>0</v>
      </c>
      <c r="H70" s="13">
        <f t="shared" si="4"/>
        <v>0</v>
      </c>
      <c r="I70" s="12"/>
      <c r="J70" s="14">
        <f t="shared" si="3"/>
        <v>0</v>
      </c>
      <c r="L70" s="34">
        <f t="shared" si="5"/>
        <v>0</v>
      </c>
    </row>
    <row r="71" spans="1:12" ht="15.75" x14ac:dyDescent="0.25">
      <c r="B71" s="9">
        <v>250</v>
      </c>
      <c r="C71" s="10" t="s">
        <v>55</v>
      </c>
      <c r="D71" s="11"/>
      <c r="E71" s="36">
        <v>0</v>
      </c>
      <c r="F71" s="36">
        <v>0</v>
      </c>
      <c r="G71" s="36">
        <v>0</v>
      </c>
      <c r="H71" s="13">
        <f t="shared" si="4"/>
        <v>0</v>
      </c>
      <c r="I71" s="12"/>
      <c r="J71" s="14">
        <f t="shared" si="3"/>
        <v>0</v>
      </c>
      <c r="L71" s="34">
        <f t="shared" si="5"/>
        <v>0</v>
      </c>
    </row>
    <row r="72" spans="1:12" ht="15.75" x14ac:dyDescent="0.25">
      <c r="B72" s="9">
        <v>250</v>
      </c>
      <c r="C72" s="10" t="s">
        <v>56</v>
      </c>
      <c r="D72" s="11"/>
      <c r="E72" s="36">
        <v>0</v>
      </c>
      <c r="F72" s="36">
        <v>0</v>
      </c>
      <c r="G72" s="36">
        <v>0</v>
      </c>
      <c r="H72" s="13">
        <f t="shared" si="4"/>
        <v>0</v>
      </c>
      <c r="I72" s="12"/>
      <c r="J72" s="14">
        <f t="shared" si="3"/>
        <v>0</v>
      </c>
      <c r="L72" s="34">
        <f t="shared" si="5"/>
        <v>0</v>
      </c>
    </row>
    <row r="73" spans="1:12" ht="15.75" x14ac:dyDescent="0.25">
      <c r="B73" s="9">
        <v>1000</v>
      </c>
      <c r="C73" s="10" t="s">
        <v>52</v>
      </c>
      <c r="D73" s="11"/>
      <c r="E73" s="36">
        <v>0</v>
      </c>
      <c r="F73" s="36">
        <v>0</v>
      </c>
      <c r="G73" s="36">
        <v>0</v>
      </c>
      <c r="H73" s="13">
        <f t="shared" si="4"/>
        <v>0</v>
      </c>
      <c r="I73" s="12"/>
      <c r="J73" s="14">
        <f t="shared" si="3"/>
        <v>0</v>
      </c>
      <c r="L73" s="34">
        <f t="shared" si="5"/>
        <v>0</v>
      </c>
    </row>
    <row r="74" spans="1:12" ht="15.75" x14ac:dyDescent="0.25">
      <c r="B74" s="9">
        <v>1000</v>
      </c>
      <c r="C74" s="10" t="s">
        <v>53</v>
      </c>
      <c r="D74" s="11"/>
      <c r="E74" s="36">
        <v>0</v>
      </c>
      <c r="F74" s="36">
        <v>0</v>
      </c>
      <c r="G74" s="36">
        <v>0</v>
      </c>
      <c r="H74" s="13">
        <f t="shared" si="4"/>
        <v>0</v>
      </c>
      <c r="I74" s="12"/>
      <c r="J74" s="14">
        <f t="shared" si="3"/>
        <v>0</v>
      </c>
      <c r="L74" s="34">
        <f t="shared" si="5"/>
        <v>0</v>
      </c>
    </row>
    <row r="75" spans="1:12" ht="15.75" x14ac:dyDescent="0.25">
      <c r="B75" s="9">
        <v>1000</v>
      </c>
      <c r="C75" s="10" t="s">
        <v>54</v>
      </c>
      <c r="D75" s="11"/>
      <c r="E75" s="36">
        <v>0</v>
      </c>
      <c r="F75" s="36">
        <v>0</v>
      </c>
      <c r="G75" s="36">
        <v>0</v>
      </c>
      <c r="H75" s="13">
        <f t="shared" si="4"/>
        <v>0</v>
      </c>
      <c r="I75" s="12"/>
      <c r="J75" s="14">
        <f t="shared" si="3"/>
        <v>0</v>
      </c>
      <c r="L75" s="34">
        <f t="shared" si="5"/>
        <v>0</v>
      </c>
    </row>
    <row r="76" spans="1:12" ht="15.75" x14ac:dyDescent="0.25">
      <c r="B76" s="9">
        <v>1000</v>
      </c>
      <c r="C76" s="10" t="s">
        <v>55</v>
      </c>
      <c r="D76" s="11"/>
      <c r="E76" s="36">
        <v>0</v>
      </c>
      <c r="F76" s="36">
        <v>0</v>
      </c>
      <c r="G76" s="36">
        <v>0</v>
      </c>
      <c r="H76" s="13">
        <f t="shared" si="4"/>
        <v>0</v>
      </c>
      <c r="I76" s="12"/>
      <c r="J76" s="14">
        <f t="shared" si="3"/>
        <v>0</v>
      </c>
      <c r="L76" s="34">
        <f t="shared" si="5"/>
        <v>0</v>
      </c>
    </row>
    <row r="77" spans="1:12" ht="15.75" x14ac:dyDescent="0.25">
      <c r="B77" s="9">
        <v>1000</v>
      </c>
      <c r="C77" s="10" t="s">
        <v>56</v>
      </c>
      <c r="D77" s="11"/>
      <c r="E77" s="36">
        <v>0</v>
      </c>
      <c r="F77" s="36">
        <v>0</v>
      </c>
      <c r="G77" s="36">
        <v>0</v>
      </c>
      <c r="H77" s="13">
        <f t="shared" si="4"/>
        <v>0</v>
      </c>
      <c r="I77" s="12"/>
      <c r="J77" s="14">
        <f t="shared" si="3"/>
        <v>0</v>
      </c>
      <c r="L77" s="34">
        <f t="shared" si="5"/>
        <v>0</v>
      </c>
    </row>
    <row r="78" spans="1:12" ht="15.75" x14ac:dyDescent="0.25">
      <c r="A78">
        <v>599461</v>
      </c>
      <c r="B78" s="18">
        <v>145</v>
      </c>
      <c r="C78" s="10" t="s">
        <v>63</v>
      </c>
      <c r="D78" s="11"/>
      <c r="E78" s="36">
        <v>0</v>
      </c>
      <c r="F78" s="36">
        <v>0</v>
      </c>
      <c r="G78" s="36">
        <v>0</v>
      </c>
      <c r="H78" s="13">
        <f t="shared" si="4"/>
        <v>0</v>
      </c>
      <c r="I78" s="12"/>
      <c r="J78" s="14">
        <f t="shared" si="3"/>
        <v>0</v>
      </c>
      <c r="L78" s="34">
        <f t="shared" si="5"/>
        <v>0</v>
      </c>
    </row>
    <row r="79" spans="1:12" ht="15.75" x14ac:dyDescent="0.25">
      <c r="B79" s="9">
        <v>145</v>
      </c>
      <c r="C79" s="10" t="s">
        <v>64</v>
      </c>
      <c r="D79" s="11"/>
      <c r="E79" s="36">
        <v>0</v>
      </c>
      <c r="F79" s="36">
        <v>0</v>
      </c>
      <c r="G79" s="36">
        <v>0</v>
      </c>
      <c r="H79" s="13">
        <f t="shared" si="4"/>
        <v>0</v>
      </c>
      <c r="I79" s="12"/>
      <c r="J79" s="14">
        <f t="shared" si="3"/>
        <v>0</v>
      </c>
      <c r="L79" s="34">
        <f t="shared" si="5"/>
        <v>0</v>
      </c>
    </row>
    <row r="80" spans="1:12" ht="15.75" x14ac:dyDescent="0.25">
      <c r="B80" s="9">
        <v>145</v>
      </c>
      <c r="C80" s="10" t="s">
        <v>65</v>
      </c>
      <c r="D80" s="11"/>
      <c r="E80" s="36">
        <v>0</v>
      </c>
      <c r="F80" s="36">
        <v>0</v>
      </c>
      <c r="G80" s="36">
        <v>0</v>
      </c>
      <c r="H80" s="13">
        <f t="shared" si="4"/>
        <v>0</v>
      </c>
      <c r="I80" s="12"/>
      <c r="J80" s="14">
        <f t="shared" si="3"/>
        <v>0</v>
      </c>
      <c r="L80" s="34">
        <f t="shared" si="5"/>
        <v>0</v>
      </c>
    </row>
    <row r="81" spans="1:12" ht="15.75" x14ac:dyDescent="0.25">
      <c r="A81">
        <v>522287</v>
      </c>
      <c r="B81" s="9">
        <v>360</v>
      </c>
      <c r="C81" s="10" t="s">
        <v>66</v>
      </c>
      <c r="D81" s="11"/>
      <c r="E81" s="36">
        <v>0</v>
      </c>
      <c r="F81" s="36">
        <v>0</v>
      </c>
      <c r="G81" s="36">
        <v>0</v>
      </c>
      <c r="H81" s="13">
        <f t="shared" si="4"/>
        <v>0</v>
      </c>
      <c r="I81" s="12"/>
      <c r="J81" s="14">
        <f t="shared" si="3"/>
        <v>0</v>
      </c>
      <c r="L81" s="34">
        <f t="shared" si="5"/>
        <v>0</v>
      </c>
    </row>
    <row r="82" spans="1:12" ht="15.75" x14ac:dyDescent="0.25">
      <c r="A82">
        <v>522286</v>
      </c>
      <c r="B82" s="18">
        <v>360</v>
      </c>
      <c r="C82" s="10" t="s">
        <v>67</v>
      </c>
      <c r="D82" s="11"/>
      <c r="E82" s="36">
        <v>0</v>
      </c>
      <c r="F82" s="36">
        <v>0</v>
      </c>
      <c r="G82" s="36">
        <v>0</v>
      </c>
      <c r="H82" s="13">
        <f t="shared" si="4"/>
        <v>0</v>
      </c>
      <c r="I82" s="12"/>
      <c r="J82" s="14">
        <f t="shared" si="3"/>
        <v>0</v>
      </c>
      <c r="L82" s="34">
        <f t="shared" si="5"/>
        <v>0</v>
      </c>
    </row>
    <row r="83" spans="1:12" ht="15.75" x14ac:dyDescent="0.25">
      <c r="A83">
        <v>522278</v>
      </c>
      <c r="B83" s="18">
        <v>360</v>
      </c>
      <c r="C83" s="10" t="s">
        <v>68</v>
      </c>
      <c r="D83" s="11"/>
      <c r="E83" s="36">
        <v>0</v>
      </c>
      <c r="F83" s="36">
        <v>0</v>
      </c>
      <c r="G83" s="36">
        <v>0</v>
      </c>
      <c r="H83" s="13">
        <f t="shared" si="4"/>
        <v>0</v>
      </c>
      <c r="I83" s="12"/>
      <c r="J83" s="14">
        <f t="shared" si="3"/>
        <v>0</v>
      </c>
      <c r="L83" s="34">
        <f t="shared" si="5"/>
        <v>0</v>
      </c>
    </row>
    <row r="84" spans="1:12" ht="15.75" x14ac:dyDescent="0.25">
      <c r="B84" s="9">
        <v>360</v>
      </c>
      <c r="C84" s="10" t="s">
        <v>69</v>
      </c>
      <c r="D84" s="11"/>
      <c r="E84" s="36">
        <v>0</v>
      </c>
      <c r="F84" s="36">
        <v>0</v>
      </c>
      <c r="G84" s="36">
        <v>0</v>
      </c>
      <c r="H84" s="13">
        <f t="shared" si="4"/>
        <v>0</v>
      </c>
      <c r="I84" s="12"/>
      <c r="J84" s="14">
        <f t="shared" si="3"/>
        <v>0</v>
      </c>
      <c r="L84" s="34">
        <f t="shared" si="5"/>
        <v>0</v>
      </c>
    </row>
    <row r="85" spans="1:12" ht="15.75" x14ac:dyDescent="0.25">
      <c r="B85" s="9">
        <v>360</v>
      </c>
      <c r="C85" s="10" t="s">
        <v>70</v>
      </c>
      <c r="D85" s="11"/>
      <c r="E85" s="36">
        <v>0</v>
      </c>
      <c r="F85" s="36">
        <v>0</v>
      </c>
      <c r="G85" s="36">
        <v>0</v>
      </c>
      <c r="H85" s="13">
        <f t="shared" si="4"/>
        <v>0</v>
      </c>
      <c r="I85" s="12"/>
      <c r="J85" s="14">
        <f t="shared" si="3"/>
        <v>0</v>
      </c>
      <c r="L85" s="34">
        <f t="shared" si="5"/>
        <v>0</v>
      </c>
    </row>
    <row r="86" spans="1:12" ht="15.75" x14ac:dyDescent="0.25">
      <c r="B86" s="9">
        <v>360</v>
      </c>
      <c r="C86" s="10" t="s">
        <v>71</v>
      </c>
      <c r="D86" s="11"/>
      <c r="E86" s="36">
        <v>0</v>
      </c>
      <c r="F86" s="36">
        <v>0</v>
      </c>
      <c r="G86" s="36">
        <v>0</v>
      </c>
      <c r="H86" s="13">
        <f t="shared" si="4"/>
        <v>0</v>
      </c>
      <c r="I86" s="12"/>
      <c r="J86" s="14">
        <f t="shared" si="3"/>
        <v>0</v>
      </c>
      <c r="L86" s="34">
        <f t="shared" si="5"/>
        <v>0</v>
      </c>
    </row>
    <row r="87" spans="1:12" ht="15.75" x14ac:dyDescent="0.25">
      <c r="B87" s="9">
        <v>360</v>
      </c>
      <c r="C87" s="10" t="s">
        <v>72</v>
      </c>
      <c r="D87" s="11"/>
      <c r="E87" s="36">
        <v>0</v>
      </c>
      <c r="F87" s="36">
        <v>0</v>
      </c>
      <c r="G87" s="36">
        <v>0</v>
      </c>
      <c r="H87" s="13">
        <f t="shared" si="4"/>
        <v>0</v>
      </c>
      <c r="I87" s="12"/>
      <c r="J87" s="14">
        <f t="shared" si="3"/>
        <v>0</v>
      </c>
      <c r="L87" s="34">
        <f t="shared" si="5"/>
        <v>0</v>
      </c>
    </row>
    <row r="88" spans="1:12" ht="15.75" x14ac:dyDescent="0.25">
      <c r="A88">
        <v>522501</v>
      </c>
      <c r="B88" s="9">
        <v>625</v>
      </c>
      <c r="C88" s="10" t="s">
        <v>66</v>
      </c>
      <c r="D88" s="11">
        <v>155</v>
      </c>
      <c r="E88" s="36">
        <v>20</v>
      </c>
      <c r="F88" s="36">
        <v>30</v>
      </c>
      <c r="G88" s="36">
        <v>33</v>
      </c>
      <c r="H88" s="13">
        <f t="shared" si="4"/>
        <v>238</v>
      </c>
      <c r="I88" s="12"/>
      <c r="J88" s="14">
        <f>H88-I88</f>
        <v>238</v>
      </c>
      <c r="K88">
        <v>238</v>
      </c>
      <c r="L88" s="34">
        <f t="shared" si="5"/>
        <v>0</v>
      </c>
    </row>
    <row r="89" spans="1:12" ht="15.75" x14ac:dyDescent="0.25">
      <c r="A89">
        <v>522502</v>
      </c>
      <c r="B89" s="9">
        <v>625</v>
      </c>
      <c r="C89" s="10" t="s">
        <v>68</v>
      </c>
      <c r="D89" s="11">
        <v>189</v>
      </c>
      <c r="E89" s="36">
        <v>25</v>
      </c>
      <c r="F89" s="36">
        <v>30</v>
      </c>
      <c r="G89" s="36">
        <v>30</v>
      </c>
      <c r="H89" s="13">
        <f t="shared" si="4"/>
        <v>274</v>
      </c>
      <c r="I89" s="12"/>
      <c r="J89" s="14">
        <f t="shared" si="3"/>
        <v>274</v>
      </c>
      <c r="K89">
        <v>295</v>
      </c>
      <c r="L89" s="37">
        <f t="shared" si="5"/>
        <v>21</v>
      </c>
    </row>
    <row r="90" spans="1:12" ht="15.75" x14ac:dyDescent="0.25">
      <c r="A90">
        <v>522500</v>
      </c>
      <c r="B90" s="9">
        <v>625</v>
      </c>
      <c r="C90" s="10" t="s">
        <v>67</v>
      </c>
      <c r="D90" s="11">
        <v>124</v>
      </c>
      <c r="E90" s="36">
        <v>25</v>
      </c>
      <c r="F90" s="36">
        <v>30</v>
      </c>
      <c r="G90" s="36">
        <v>30</v>
      </c>
      <c r="H90" s="13">
        <f t="shared" si="4"/>
        <v>209</v>
      </c>
      <c r="I90" s="12"/>
      <c r="J90" s="14">
        <f t="shared" si="3"/>
        <v>209</v>
      </c>
      <c r="K90">
        <v>210</v>
      </c>
      <c r="L90" s="37">
        <f t="shared" si="5"/>
        <v>1</v>
      </c>
    </row>
    <row r="91" spans="1:12" ht="15.75" x14ac:dyDescent="0.25">
      <c r="A91">
        <v>522499</v>
      </c>
      <c r="B91" s="9">
        <v>625</v>
      </c>
      <c r="C91" s="10" t="s">
        <v>73</v>
      </c>
      <c r="D91" s="11">
        <v>110</v>
      </c>
      <c r="E91" s="36">
        <v>7</v>
      </c>
      <c r="F91" s="36">
        <v>8</v>
      </c>
      <c r="G91" s="36">
        <v>10</v>
      </c>
      <c r="H91" s="13">
        <f t="shared" si="4"/>
        <v>135</v>
      </c>
      <c r="I91" s="12"/>
      <c r="J91" s="14">
        <f t="shared" si="3"/>
        <v>135</v>
      </c>
      <c r="K91">
        <v>135</v>
      </c>
      <c r="L91" s="34">
        <f t="shared" si="5"/>
        <v>0</v>
      </c>
    </row>
    <row r="92" spans="1:12" ht="15.75" x14ac:dyDescent="0.25">
      <c r="A92">
        <v>522497</v>
      </c>
      <c r="B92" s="9">
        <v>625</v>
      </c>
      <c r="C92" s="10" t="s">
        <v>70</v>
      </c>
      <c r="D92" s="11"/>
      <c r="E92" s="36">
        <v>0</v>
      </c>
      <c r="F92" s="36">
        <v>10</v>
      </c>
      <c r="G92" s="36">
        <v>0</v>
      </c>
      <c r="H92" s="13">
        <f t="shared" si="4"/>
        <v>10</v>
      </c>
      <c r="I92" s="12"/>
      <c r="J92" s="14">
        <f t="shared" si="3"/>
        <v>10</v>
      </c>
      <c r="K92">
        <v>10</v>
      </c>
      <c r="L92" s="34">
        <f t="shared" si="5"/>
        <v>0</v>
      </c>
    </row>
    <row r="93" spans="1:12" ht="15.75" x14ac:dyDescent="0.25">
      <c r="B93" s="9">
        <v>625</v>
      </c>
      <c r="C93" s="10" t="s">
        <v>71</v>
      </c>
      <c r="D93" s="11"/>
      <c r="E93" s="36">
        <v>0</v>
      </c>
      <c r="F93" s="36">
        <v>0</v>
      </c>
      <c r="G93" s="36">
        <v>0</v>
      </c>
      <c r="H93" s="13">
        <f t="shared" si="4"/>
        <v>0</v>
      </c>
      <c r="I93" s="12"/>
      <c r="J93" s="14">
        <f t="shared" si="3"/>
        <v>0</v>
      </c>
      <c r="L93" s="34">
        <f t="shared" si="5"/>
        <v>0</v>
      </c>
    </row>
    <row r="94" spans="1:12" ht="15.75" x14ac:dyDescent="0.25">
      <c r="A94">
        <v>522498</v>
      </c>
      <c r="B94" s="9">
        <v>625</v>
      </c>
      <c r="C94" s="10" t="s">
        <v>74</v>
      </c>
      <c r="D94" s="11"/>
      <c r="E94" s="36">
        <v>0</v>
      </c>
      <c r="F94" s="36">
        <v>0</v>
      </c>
      <c r="G94" s="36">
        <v>0</v>
      </c>
      <c r="H94" s="13">
        <f t="shared" si="4"/>
        <v>0</v>
      </c>
      <c r="I94" s="12"/>
      <c r="J94" s="14">
        <f t="shared" si="3"/>
        <v>0</v>
      </c>
      <c r="L94" s="34">
        <f t="shared" si="5"/>
        <v>0</v>
      </c>
    </row>
    <row r="95" spans="1:12" ht="15.75" x14ac:dyDescent="0.25">
      <c r="A95">
        <v>517507</v>
      </c>
      <c r="B95" s="18">
        <v>500</v>
      </c>
      <c r="C95" s="17" t="s">
        <v>75</v>
      </c>
      <c r="D95" s="11"/>
      <c r="E95" s="36">
        <v>0</v>
      </c>
      <c r="F95" s="36">
        <v>0</v>
      </c>
      <c r="G95" s="36">
        <v>0</v>
      </c>
      <c r="H95" s="13">
        <f t="shared" si="4"/>
        <v>0</v>
      </c>
      <c r="I95" s="12"/>
      <c r="J95" s="14">
        <f t="shared" si="3"/>
        <v>0</v>
      </c>
      <c r="L95" s="34">
        <f t="shared" si="5"/>
        <v>0</v>
      </c>
    </row>
    <row r="96" spans="1:12" ht="15.75" x14ac:dyDescent="0.25">
      <c r="A96">
        <v>517499</v>
      </c>
      <c r="B96" s="18">
        <v>360</v>
      </c>
      <c r="C96" s="17" t="s">
        <v>75</v>
      </c>
      <c r="D96" s="11"/>
      <c r="E96" s="36">
        <v>0</v>
      </c>
      <c r="F96" s="36">
        <v>0</v>
      </c>
      <c r="G96" s="36">
        <v>0</v>
      </c>
      <c r="H96" s="13">
        <f t="shared" si="4"/>
        <v>0</v>
      </c>
      <c r="I96" s="12"/>
      <c r="J96" s="14">
        <f t="shared" si="3"/>
        <v>0</v>
      </c>
      <c r="K96">
        <v>3</v>
      </c>
      <c r="L96" s="37">
        <f t="shared" si="5"/>
        <v>3</v>
      </c>
    </row>
    <row r="97" spans="1:12" ht="15.75" x14ac:dyDescent="0.25">
      <c r="B97" s="9">
        <v>625</v>
      </c>
      <c r="C97" s="10" t="s">
        <v>76</v>
      </c>
      <c r="D97" s="11"/>
      <c r="E97" s="36">
        <v>0</v>
      </c>
      <c r="F97" s="36">
        <v>0</v>
      </c>
      <c r="G97" s="36">
        <v>0</v>
      </c>
      <c r="H97" s="13">
        <f t="shared" si="4"/>
        <v>0</v>
      </c>
      <c r="I97" s="12"/>
      <c r="J97" s="14">
        <f t="shared" si="3"/>
        <v>0</v>
      </c>
      <c r="L97" s="34">
        <f t="shared" si="5"/>
        <v>0</v>
      </c>
    </row>
    <row r="98" spans="1:12" ht="15.75" x14ac:dyDescent="0.25">
      <c r="B98" s="9">
        <v>3030</v>
      </c>
      <c r="C98" s="10" t="s">
        <v>76</v>
      </c>
      <c r="D98" s="11"/>
      <c r="E98" s="36">
        <v>0</v>
      </c>
      <c r="F98" s="36">
        <v>0</v>
      </c>
      <c r="G98" s="36">
        <v>0</v>
      </c>
      <c r="H98" s="13">
        <f t="shared" si="4"/>
        <v>0</v>
      </c>
      <c r="I98" s="12"/>
      <c r="J98" s="14">
        <f t="shared" si="3"/>
        <v>0</v>
      </c>
      <c r="L98" s="34">
        <f t="shared" si="5"/>
        <v>0</v>
      </c>
    </row>
    <row r="99" spans="1:12" ht="15.75" x14ac:dyDescent="0.25">
      <c r="B99" s="9">
        <v>355</v>
      </c>
      <c r="C99" s="10" t="s">
        <v>18</v>
      </c>
      <c r="D99" s="11"/>
      <c r="E99" s="36">
        <v>0</v>
      </c>
      <c r="F99" s="36">
        <v>0</v>
      </c>
      <c r="G99" s="36">
        <v>0</v>
      </c>
      <c r="H99" s="13">
        <f t="shared" si="4"/>
        <v>0</v>
      </c>
      <c r="I99" s="12"/>
      <c r="J99" s="14">
        <f t="shared" si="3"/>
        <v>0</v>
      </c>
      <c r="L99" s="34">
        <f t="shared" si="5"/>
        <v>0</v>
      </c>
    </row>
    <row r="100" spans="1:12" ht="15.75" x14ac:dyDescent="0.25">
      <c r="B100" s="9">
        <v>911</v>
      </c>
      <c r="C100" s="10" t="s">
        <v>77</v>
      </c>
      <c r="D100" s="11"/>
      <c r="E100" s="36">
        <v>0</v>
      </c>
      <c r="F100" s="36">
        <v>0</v>
      </c>
      <c r="G100" s="36">
        <v>0</v>
      </c>
      <c r="H100" s="13">
        <f t="shared" si="4"/>
        <v>0</v>
      </c>
      <c r="I100" s="12"/>
      <c r="J100" s="14">
        <f t="shared" si="3"/>
        <v>0</v>
      </c>
      <c r="L100" s="34">
        <f t="shared" si="5"/>
        <v>0</v>
      </c>
    </row>
    <row r="101" spans="1:12" ht="15.75" x14ac:dyDescent="0.25">
      <c r="A101">
        <v>500386</v>
      </c>
      <c r="B101" s="9">
        <v>355</v>
      </c>
      <c r="C101" s="10" t="s">
        <v>21</v>
      </c>
      <c r="D101" s="11"/>
      <c r="E101" s="36">
        <v>0</v>
      </c>
      <c r="F101" s="36">
        <v>0</v>
      </c>
      <c r="G101" s="36">
        <v>0</v>
      </c>
      <c r="H101" s="13">
        <f t="shared" si="4"/>
        <v>0</v>
      </c>
      <c r="I101" s="12"/>
      <c r="J101" s="14">
        <f t="shared" si="3"/>
        <v>0</v>
      </c>
      <c r="L101" s="34">
        <f t="shared" si="5"/>
        <v>0</v>
      </c>
    </row>
    <row r="102" spans="1:12" ht="15.75" x14ac:dyDescent="0.25">
      <c r="A102">
        <v>598944</v>
      </c>
      <c r="B102" s="20">
        <v>355</v>
      </c>
      <c r="C102" s="21" t="s">
        <v>14</v>
      </c>
      <c r="D102" s="11"/>
      <c r="E102" s="36">
        <v>0</v>
      </c>
      <c r="F102" s="36">
        <v>0</v>
      </c>
      <c r="G102" s="36">
        <v>0</v>
      </c>
      <c r="H102" s="13">
        <f t="shared" si="4"/>
        <v>0</v>
      </c>
      <c r="I102" s="12"/>
      <c r="J102" s="14">
        <f t="shared" si="3"/>
        <v>0</v>
      </c>
      <c r="L102" s="34">
        <f t="shared" si="5"/>
        <v>0</v>
      </c>
    </row>
    <row r="103" spans="1:12" ht="15.75" x14ac:dyDescent="0.25">
      <c r="B103" s="20">
        <v>355</v>
      </c>
      <c r="C103" s="21" t="s">
        <v>16</v>
      </c>
      <c r="D103" s="11"/>
      <c r="E103" s="36">
        <v>0</v>
      </c>
      <c r="F103" s="36">
        <v>0</v>
      </c>
      <c r="G103" s="36">
        <v>0</v>
      </c>
      <c r="H103" s="13">
        <f t="shared" si="4"/>
        <v>0</v>
      </c>
      <c r="I103" s="12"/>
      <c r="J103" s="14">
        <f t="shared" si="3"/>
        <v>0</v>
      </c>
      <c r="L103" s="34">
        <f t="shared" si="5"/>
        <v>0</v>
      </c>
    </row>
    <row r="104" spans="1:12" ht="15.75" x14ac:dyDescent="0.25">
      <c r="A104">
        <v>598947</v>
      </c>
      <c r="B104" s="20">
        <v>355</v>
      </c>
      <c r="C104" s="21" t="s">
        <v>15</v>
      </c>
      <c r="D104" s="11"/>
      <c r="E104" s="36">
        <v>0</v>
      </c>
      <c r="F104" s="36">
        <v>0</v>
      </c>
      <c r="G104" s="36">
        <v>0</v>
      </c>
      <c r="H104" s="13">
        <f t="shared" si="4"/>
        <v>0</v>
      </c>
      <c r="I104" s="12"/>
      <c r="J104" s="14">
        <v>0</v>
      </c>
      <c r="L104" s="34">
        <f t="shared" si="5"/>
        <v>0</v>
      </c>
    </row>
    <row r="105" spans="1:12" ht="15.75" x14ac:dyDescent="0.25">
      <c r="A105">
        <v>598943</v>
      </c>
      <c r="B105" s="20">
        <v>355</v>
      </c>
      <c r="C105" s="21" t="s">
        <v>17</v>
      </c>
      <c r="D105" s="11"/>
      <c r="E105" s="36">
        <v>0</v>
      </c>
      <c r="F105" s="36">
        <v>0</v>
      </c>
      <c r="G105" s="36">
        <v>0</v>
      </c>
      <c r="H105" s="13">
        <f t="shared" si="4"/>
        <v>0</v>
      </c>
      <c r="I105" s="12"/>
      <c r="J105" s="14">
        <f t="shared" si="3"/>
        <v>0</v>
      </c>
      <c r="L105" s="34">
        <f t="shared" si="5"/>
        <v>0</v>
      </c>
    </row>
    <row r="106" spans="1:12" ht="15.75" x14ac:dyDescent="0.25">
      <c r="B106" s="20">
        <v>355</v>
      </c>
      <c r="C106" s="21" t="s">
        <v>78</v>
      </c>
      <c r="D106" s="11"/>
      <c r="E106" s="36">
        <v>0</v>
      </c>
      <c r="F106" s="36">
        <v>0</v>
      </c>
      <c r="G106" s="36">
        <v>0</v>
      </c>
      <c r="H106" s="13">
        <f t="shared" si="4"/>
        <v>0</v>
      </c>
      <c r="I106" s="12"/>
      <c r="J106" s="14">
        <f t="shared" si="3"/>
        <v>0</v>
      </c>
      <c r="L106" s="34">
        <f t="shared" si="5"/>
        <v>0</v>
      </c>
    </row>
    <row r="107" spans="1:12" ht="15.75" x14ac:dyDescent="0.25">
      <c r="B107" s="20">
        <v>355</v>
      </c>
      <c r="C107" s="21" t="s">
        <v>79</v>
      </c>
      <c r="D107" s="11"/>
      <c r="E107" s="36">
        <v>0</v>
      </c>
      <c r="F107" s="36">
        <v>0</v>
      </c>
      <c r="G107" s="36">
        <v>0</v>
      </c>
      <c r="H107" s="13">
        <f t="shared" si="4"/>
        <v>0</v>
      </c>
      <c r="I107" s="12"/>
      <c r="J107" s="14">
        <f t="shared" si="3"/>
        <v>0</v>
      </c>
      <c r="L107" s="34">
        <f t="shared" si="5"/>
        <v>0</v>
      </c>
    </row>
    <row r="108" spans="1:12" ht="15.75" x14ac:dyDescent="0.25">
      <c r="B108" s="20">
        <v>355</v>
      </c>
      <c r="C108" s="21" t="s">
        <v>80</v>
      </c>
      <c r="D108" s="11"/>
      <c r="E108" s="36">
        <v>0</v>
      </c>
      <c r="F108" s="36">
        <v>0</v>
      </c>
      <c r="G108" s="36">
        <v>0</v>
      </c>
      <c r="H108" s="13">
        <f t="shared" si="4"/>
        <v>0</v>
      </c>
      <c r="I108" s="12"/>
      <c r="J108" s="14">
        <f t="shared" si="3"/>
        <v>0</v>
      </c>
      <c r="L108" s="34">
        <f t="shared" si="5"/>
        <v>0</v>
      </c>
    </row>
    <row r="109" spans="1:12" ht="15.75" x14ac:dyDescent="0.25">
      <c r="B109" s="20">
        <v>145</v>
      </c>
      <c r="C109" s="21" t="s">
        <v>70</v>
      </c>
      <c r="D109" s="11"/>
      <c r="E109" s="36">
        <v>0</v>
      </c>
      <c r="F109" s="36">
        <v>0</v>
      </c>
      <c r="G109" s="36">
        <v>0</v>
      </c>
      <c r="H109" s="13">
        <f t="shared" si="4"/>
        <v>0</v>
      </c>
      <c r="I109" s="12"/>
      <c r="J109" s="14">
        <f t="shared" si="3"/>
        <v>0</v>
      </c>
      <c r="L109" s="34">
        <f t="shared" si="5"/>
        <v>0</v>
      </c>
    </row>
    <row r="110" spans="1:12" ht="15.75" x14ac:dyDescent="0.25">
      <c r="B110" s="20">
        <v>145</v>
      </c>
      <c r="C110" s="21" t="s">
        <v>68</v>
      </c>
      <c r="D110" s="11"/>
      <c r="E110" s="36">
        <v>0</v>
      </c>
      <c r="F110" s="36">
        <v>0</v>
      </c>
      <c r="G110" s="36">
        <v>0</v>
      </c>
      <c r="H110" s="13">
        <f t="shared" si="4"/>
        <v>0</v>
      </c>
      <c r="I110" s="12"/>
      <c r="J110" s="14">
        <f t="shared" si="3"/>
        <v>0</v>
      </c>
      <c r="L110" s="34">
        <f t="shared" si="5"/>
        <v>0</v>
      </c>
    </row>
    <row r="111" spans="1:12" ht="15.75" x14ac:dyDescent="0.25">
      <c r="B111" s="20">
        <v>145</v>
      </c>
      <c r="C111" s="21" t="s">
        <v>73</v>
      </c>
      <c r="D111" s="11"/>
      <c r="E111" s="36">
        <v>0</v>
      </c>
      <c r="F111" s="36">
        <v>0</v>
      </c>
      <c r="G111" s="36">
        <v>0</v>
      </c>
      <c r="H111" s="13">
        <f t="shared" si="4"/>
        <v>0</v>
      </c>
      <c r="I111" s="12"/>
      <c r="J111" s="14">
        <f t="shared" si="3"/>
        <v>0</v>
      </c>
      <c r="L111" s="34">
        <f t="shared" si="5"/>
        <v>0</v>
      </c>
    </row>
    <row r="112" spans="1:12" ht="15.75" x14ac:dyDescent="0.25">
      <c r="B112" s="20"/>
      <c r="C112" s="21" t="s">
        <v>66</v>
      </c>
      <c r="D112" s="11"/>
      <c r="E112" s="36">
        <v>0</v>
      </c>
      <c r="F112" s="36">
        <v>0</v>
      </c>
      <c r="G112" s="36">
        <v>0</v>
      </c>
      <c r="H112" s="13">
        <f t="shared" si="4"/>
        <v>0</v>
      </c>
      <c r="I112" s="12"/>
      <c r="J112" s="14">
        <f t="shared" si="3"/>
        <v>0</v>
      </c>
      <c r="L112" s="34">
        <f t="shared" si="5"/>
        <v>0</v>
      </c>
    </row>
    <row r="113" spans="1:12" ht="15.75" x14ac:dyDescent="0.25">
      <c r="B113" s="20"/>
      <c r="C113" s="21" t="s">
        <v>81</v>
      </c>
      <c r="D113" s="11"/>
      <c r="E113" s="36">
        <v>0</v>
      </c>
      <c r="F113" s="36">
        <v>0</v>
      </c>
      <c r="G113" s="36">
        <v>0</v>
      </c>
      <c r="H113" s="13">
        <f t="shared" si="4"/>
        <v>0</v>
      </c>
      <c r="I113" s="12"/>
      <c r="J113" s="14">
        <f t="shared" si="3"/>
        <v>0</v>
      </c>
      <c r="L113" s="34">
        <f t="shared" si="5"/>
        <v>0</v>
      </c>
    </row>
    <row r="114" spans="1:12" ht="15.75" x14ac:dyDescent="0.25">
      <c r="B114" s="20"/>
      <c r="C114" s="21" t="s">
        <v>74</v>
      </c>
      <c r="D114" s="11"/>
      <c r="E114" s="36">
        <v>0</v>
      </c>
      <c r="F114" s="36">
        <v>0</v>
      </c>
      <c r="G114" s="36">
        <v>0</v>
      </c>
      <c r="H114" s="13">
        <f t="shared" si="4"/>
        <v>0</v>
      </c>
      <c r="I114" s="12"/>
      <c r="J114" s="14">
        <f t="shared" si="3"/>
        <v>0</v>
      </c>
      <c r="L114" s="34">
        <f t="shared" si="5"/>
        <v>0</v>
      </c>
    </row>
    <row r="115" spans="1:12" ht="15.75" x14ac:dyDescent="0.25">
      <c r="B115" s="20"/>
      <c r="C115" s="21" t="s">
        <v>82</v>
      </c>
      <c r="D115" s="11"/>
      <c r="E115" s="36">
        <v>0</v>
      </c>
      <c r="F115" s="36">
        <v>0</v>
      </c>
      <c r="G115" s="36">
        <v>0</v>
      </c>
      <c r="H115" s="13">
        <f t="shared" si="4"/>
        <v>0</v>
      </c>
      <c r="I115" s="12"/>
      <c r="J115" s="14">
        <f t="shared" si="3"/>
        <v>0</v>
      </c>
      <c r="L115" s="34">
        <f t="shared" si="5"/>
        <v>0</v>
      </c>
    </row>
    <row r="116" spans="1:12" ht="15.75" x14ac:dyDescent="0.25">
      <c r="B116" s="20">
        <v>250</v>
      </c>
      <c r="C116" s="21" t="s">
        <v>12</v>
      </c>
      <c r="D116" s="11"/>
      <c r="E116" s="36">
        <v>0</v>
      </c>
      <c r="F116" s="36">
        <v>0</v>
      </c>
      <c r="G116" s="36">
        <v>0</v>
      </c>
      <c r="H116" s="13">
        <f t="shared" si="4"/>
        <v>0</v>
      </c>
      <c r="I116" s="12"/>
      <c r="J116" s="14">
        <f t="shared" si="3"/>
        <v>0</v>
      </c>
      <c r="L116" s="34">
        <f t="shared" si="5"/>
        <v>0</v>
      </c>
    </row>
    <row r="117" spans="1:12" ht="15.75" x14ac:dyDescent="0.25">
      <c r="B117" s="20">
        <v>250</v>
      </c>
      <c r="C117" s="21" t="s">
        <v>83</v>
      </c>
      <c r="D117" s="11"/>
      <c r="E117" s="36">
        <v>0</v>
      </c>
      <c r="F117" s="36">
        <v>0</v>
      </c>
      <c r="G117" s="36">
        <v>0</v>
      </c>
      <c r="H117" s="13">
        <f t="shared" si="4"/>
        <v>0</v>
      </c>
      <c r="I117" s="12"/>
      <c r="J117" s="14">
        <f t="shared" si="3"/>
        <v>0</v>
      </c>
      <c r="L117" s="34">
        <f t="shared" si="5"/>
        <v>0</v>
      </c>
    </row>
    <row r="118" spans="1:12" ht="15.75" x14ac:dyDescent="0.25">
      <c r="B118" s="20">
        <v>1000</v>
      </c>
      <c r="C118" s="21" t="s">
        <v>83</v>
      </c>
      <c r="D118" s="11"/>
      <c r="E118" s="36">
        <v>0</v>
      </c>
      <c r="F118" s="36">
        <v>0</v>
      </c>
      <c r="G118" s="36">
        <v>0</v>
      </c>
      <c r="H118" s="13">
        <f t="shared" si="4"/>
        <v>0</v>
      </c>
      <c r="I118" s="12"/>
      <c r="J118" s="14">
        <f t="shared" si="3"/>
        <v>0</v>
      </c>
      <c r="L118" s="34">
        <f t="shared" si="5"/>
        <v>0</v>
      </c>
    </row>
    <row r="119" spans="1:12" ht="15.75" x14ac:dyDescent="0.25">
      <c r="B119" s="20">
        <v>250</v>
      </c>
      <c r="C119" s="21" t="s">
        <v>84</v>
      </c>
      <c r="D119" s="11"/>
      <c r="E119" s="36">
        <v>0</v>
      </c>
      <c r="F119" s="36">
        <v>0</v>
      </c>
      <c r="G119" s="36">
        <v>0</v>
      </c>
      <c r="H119" s="13">
        <f t="shared" si="4"/>
        <v>0</v>
      </c>
      <c r="I119" s="12"/>
      <c r="J119" s="14">
        <f t="shared" si="3"/>
        <v>0</v>
      </c>
      <c r="L119" s="34">
        <f t="shared" si="5"/>
        <v>0</v>
      </c>
    </row>
    <row r="120" spans="1:12" ht="15.75" x14ac:dyDescent="0.25">
      <c r="A120">
        <v>522665</v>
      </c>
      <c r="B120" s="22">
        <v>1.5</v>
      </c>
      <c r="C120" s="23" t="s">
        <v>85</v>
      </c>
      <c r="D120" s="11"/>
      <c r="E120" s="36">
        <v>6</v>
      </c>
      <c r="F120" s="36">
        <v>1</v>
      </c>
      <c r="G120" s="36">
        <v>0</v>
      </c>
      <c r="H120" s="13">
        <f t="shared" si="4"/>
        <v>7</v>
      </c>
      <c r="I120" s="12"/>
      <c r="J120" s="14">
        <f t="shared" si="3"/>
        <v>7</v>
      </c>
      <c r="K120">
        <v>11</v>
      </c>
      <c r="L120" s="37">
        <f t="shared" si="5"/>
        <v>4</v>
      </c>
    </row>
    <row r="121" spans="1:12" ht="15.75" x14ac:dyDescent="0.25">
      <c r="A121">
        <v>522664</v>
      </c>
      <c r="B121" s="20">
        <v>1.5</v>
      </c>
      <c r="C121" s="21" t="s">
        <v>86</v>
      </c>
      <c r="D121" s="11"/>
      <c r="E121" s="36">
        <v>0</v>
      </c>
      <c r="F121" s="36">
        <v>0</v>
      </c>
      <c r="G121" s="36">
        <v>0</v>
      </c>
      <c r="H121" s="13">
        <f t="shared" si="4"/>
        <v>0</v>
      </c>
      <c r="I121" s="12"/>
      <c r="J121" s="14">
        <f t="shared" si="3"/>
        <v>0</v>
      </c>
      <c r="K121">
        <v>1</v>
      </c>
      <c r="L121" s="37">
        <f t="shared" si="5"/>
        <v>1</v>
      </c>
    </row>
    <row r="122" spans="1:12" ht="15.75" x14ac:dyDescent="0.25">
      <c r="B122" s="24">
        <v>250</v>
      </c>
      <c r="C122" s="21" t="s">
        <v>13</v>
      </c>
      <c r="D122" s="11"/>
      <c r="E122" s="36">
        <v>0</v>
      </c>
      <c r="F122" s="36">
        <v>0</v>
      </c>
      <c r="G122" s="36">
        <v>0</v>
      </c>
      <c r="H122" s="13">
        <f t="shared" si="4"/>
        <v>0</v>
      </c>
      <c r="I122" s="12"/>
      <c r="J122" s="14">
        <f t="shared" ref="J122:J183" si="6">H122-I122</f>
        <v>0</v>
      </c>
      <c r="L122" s="34">
        <f t="shared" si="5"/>
        <v>0</v>
      </c>
    </row>
    <row r="123" spans="1:12" ht="15.75" x14ac:dyDescent="0.25">
      <c r="B123" s="20">
        <v>360</v>
      </c>
      <c r="C123" s="21" t="s">
        <v>87</v>
      </c>
      <c r="D123" s="11"/>
      <c r="E123" s="36">
        <v>0</v>
      </c>
      <c r="F123" s="36">
        <v>0</v>
      </c>
      <c r="G123" s="36">
        <v>0</v>
      </c>
      <c r="H123" s="13">
        <f t="shared" si="4"/>
        <v>0</v>
      </c>
      <c r="I123" s="12"/>
      <c r="J123" s="14">
        <f t="shared" si="6"/>
        <v>0</v>
      </c>
      <c r="L123" s="34">
        <f t="shared" si="5"/>
        <v>0</v>
      </c>
    </row>
    <row r="124" spans="1:12" ht="15.75" x14ac:dyDescent="0.25">
      <c r="B124" s="20">
        <v>1000</v>
      </c>
      <c r="C124" s="21" t="s">
        <v>75</v>
      </c>
      <c r="D124" s="11"/>
      <c r="E124" s="36">
        <v>0</v>
      </c>
      <c r="F124" s="36">
        <v>0</v>
      </c>
      <c r="G124" s="36">
        <v>0</v>
      </c>
      <c r="H124" s="13">
        <f t="shared" si="4"/>
        <v>0</v>
      </c>
      <c r="I124" s="12"/>
      <c r="J124" s="14">
        <f t="shared" si="6"/>
        <v>0</v>
      </c>
      <c r="L124" s="34">
        <f t="shared" si="5"/>
        <v>0</v>
      </c>
    </row>
    <row r="125" spans="1:12" ht="15.75" x14ac:dyDescent="0.25">
      <c r="B125" s="20">
        <v>355</v>
      </c>
      <c r="C125" s="21" t="s">
        <v>88</v>
      </c>
      <c r="D125" s="11"/>
      <c r="E125" s="36">
        <v>0</v>
      </c>
      <c r="F125" s="36">
        <v>0</v>
      </c>
      <c r="G125" s="36">
        <v>0</v>
      </c>
      <c r="H125" s="13">
        <f t="shared" si="4"/>
        <v>0</v>
      </c>
      <c r="I125" s="12"/>
      <c r="J125" s="14">
        <f t="shared" si="6"/>
        <v>0</v>
      </c>
      <c r="L125" s="34">
        <f t="shared" si="5"/>
        <v>0</v>
      </c>
    </row>
    <row r="126" spans="1:12" ht="15.75" x14ac:dyDescent="0.25">
      <c r="B126" s="20">
        <v>330</v>
      </c>
      <c r="C126" s="21" t="s">
        <v>89</v>
      </c>
      <c r="D126" s="11"/>
      <c r="E126" s="36">
        <v>0</v>
      </c>
      <c r="F126" s="36">
        <v>0</v>
      </c>
      <c r="G126" s="36">
        <v>0</v>
      </c>
      <c r="H126" s="13">
        <f t="shared" si="4"/>
        <v>0</v>
      </c>
      <c r="I126" s="12"/>
      <c r="J126" s="14">
        <f t="shared" si="6"/>
        <v>0</v>
      </c>
      <c r="L126" s="34">
        <f t="shared" si="5"/>
        <v>0</v>
      </c>
    </row>
    <row r="127" spans="1:12" ht="15.75" x14ac:dyDescent="0.25">
      <c r="B127" s="20">
        <v>330</v>
      </c>
      <c r="C127" s="21" t="s">
        <v>90</v>
      </c>
      <c r="D127" s="11"/>
      <c r="E127" s="36">
        <v>0</v>
      </c>
      <c r="F127" s="36">
        <v>0</v>
      </c>
      <c r="G127" s="36">
        <v>0</v>
      </c>
      <c r="H127" s="13">
        <f t="shared" si="4"/>
        <v>0</v>
      </c>
      <c r="I127" s="12"/>
      <c r="J127" s="14">
        <f t="shared" si="6"/>
        <v>0</v>
      </c>
      <c r="L127" s="34">
        <f t="shared" si="5"/>
        <v>0</v>
      </c>
    </row>
    <row r="128" spans="1:12" ht="15.75" x14ac:dyDescent="0.25">
      <c r="B128" s="20">
        <v>330</v>
      </c>
      <c r="C128" s="21" t="s">
        <v>91</v>
      </c>
      <c r="D128" s="11"/>
      <c r="E128" s="36">
        <v>0</v>
      </c>
      <c r="F128" s="36">
        <v>0</v>
      </c>
      <c r="G128" s="36">
        <v>0</v>
      </c>
      <c r="H128" s="13">
        <f t="shared" si="4"/>
        <v>0</v>
      </c>
      <c r="I128" s="12"/>
      <c r="J128" s="14">
        <f t="shared" si="6"/>
        <v>0</v>
      </c>
      <c r="L128" s="34">
        <f t="shared" si="5"/>
        <v>0</v>
      </c>
    </row>
    <row r="129" spans="1:12" ht="15.75" x14ac:dyDescent="0.25">
      <c r="B129" s="20">
        <v>330</v>
      </c>
      <c r="C129" s="21" t="s">
        <v>92</v>
      </c>
      <c r="D129" s="11"/>
      <c r="E129" s="36">
        <v>0</v>
      </c>
      <c r="F129" s="36">
        <v>0</v>
      </c>
      <c r="G129" s="36">
        <v>0</v>
      </c>
      <c r="H129" s="13">
        <f t="shared" si="4"/>
        <v>0</v>
      </c>
      <c r="I129" s="12"/>
      <c r="J129" s="14">
        <f t="shared" si="6"/>
        <v>0</v>
      </c>
      <c r="L129" s="34">
        <f t="shared" si="5"/>
        <v>0</v>
      </c>
    </row>
    <row r="130" spans="1:12" ht="15.75" x14ac:dyDescent="0.25">
      <c r="B130" s="20">
        <v>330</v>
      </c>
      <c r="C130" s="21" t="s">
        <v>93</v>
      </c>
      <c r="D130" s="11"/>
      <c r="E130" s="36">
        <v>0</v>
      </c>
      <c r="F130" s="36">
        <v>0</v>
      </c>
      <c r="G130" s="36">
        <v>0</v>
      </c>
      <c r="H130" s="13">
        <f t="shared" si="4"/>
        <v>0</v>
      </c>
      <c r="I130" s="12"/>
      <c r="J130" s="14">
        <f t="shared" si="6"/>
        <v>0</v>
      </c>
      <c r="L130" s="34">
        <f t="shared" si="5"/>
        <v>0</v>
      </c>
    </row>
    <row r="131" spans="1:12" ht="15.75" x14ac:dyDescent="0.25">
      <c r="B131" s="20">
        <v>330</v>
      </c>
      <c r="C131" s="21" t="s">
        <v>94</v>
      </c>
      <c r="D131" s="11"/>
      <c r="E131" s="36">
        <v>0</v>
      </c>
      <c r="F131" s="36">
        <v>0</v>
      </c>
      <c r="G131" s="36">
        <v>0</v>
      </c>
      <c r="H131" s="13">
        <f t="shared" ref="H131:H183" si="7">D131+E131+F131+G131</f>
        <v>0</v>
      </c>
      <c r="I131" s="12"/>
      <c r="J131" s="14">
        <f t="shared" si="6"/>
        <v>0</v>
      </c>
      <c r="L131" s="34">
        <f t="shared" ref="L131:L183" si="8">K131-H131</f>
        <v>0</v>
      </c>
    </row>
    <row r="132" spans="1:12" ht="15.75" x14ac:dyDescent="0.25">
      <c r="B132" s="20">
        <v>330</v>
      </c>
      <c r="C132" s="21" t="s">
        <v>95</v>
      </c>
      <c r="D132" s="11"/>
      <c r="E132" s="36">
        <v>0</v>
      </c>
      <c r="F132" s="36">
        <v>0</v>
      </c>
      <c r="G132" s="36">
        <v>0</v>
      </c>
      <c r="H132" s="13">
        <f t="shared" si="7"/>
        <v>0</v>
      </c>
      <c r="I132" s="12"/>
      <c r="J132" s="14">
        <f t="shared" si="6"/>
        <v>0</v>
      </c>
      <c r="L132" s="34">
        <f t="shared" si="8"/>
        <v>0</v>
      </c>
    </row>
    <row r="133" spans="1:12" ht="15.75" x14ac:dyDescent="0.25">
      <c r="B133" s="20">
        <v>330</v>
      </c>
      <c r="C133" s="21" t="s">
        <v>96</v>
      </c>
      <c r="D133" s="11"/>
      <c r="E133" s="36">
        <v>0</v>
      </c>
      <c r="F133" s="36">
        <v>0</v>
      </c>
      <c r="G133" s="36">
        <v>0</v>
      </c>
      <c r="H133" s="13">
        <f t="shared" si="7"/>
        <v>0</v>
      </c>
      <c r="I133" s="12"/>
      <c r="J133" s="14">
        <f t="shared" si="6"/>
        <v>0</v>
      </c>
      <c r="L133" s="34">
        <f t="shared" si="8"/>
        <v>0</v>
      </c>
    </row>
    <row r="134" spans="1:12" ht="15.75" x14ac:dyDescent="0.25">
      <c r="B134" s="20">
        <v>330</v>
      </c>
      <c r="C134" s="21" t="s">
        <v>97</v>
      </c>
      <c r="D134" s="11"/>
      <c r="E134" s="36">
        <v>0</v>
      </c>
      <c r="F134" s="36">
        <v>0</v>
      </c>
      <c r="G134" s="36">
        <v>0</v>
      </c>
      <c r="H134" s="13">
        <f t="shared" si="7"/>
        <v>0</v>
      </c>
      <c r="I134" s="12"/>
      <c r="J134" s="14">
        <f t="shared" si="6"/>
        <v>0</v>
      </c>
      <c r="L134" s="34">
        <f t="shared" si="8"/>
        <v>0</v>
      </c>
    </row>
    <row r="135" spans="1:12" ht="15.75" x14ac:dyDescent="0.25">
      <c r="B135" s="20"/>
      <c r="C135" s="21" t="s">
        <v>98</v>
      </c>
      <c r="D135" s="11"/>
      <c r="E135" s="36">
        <v>0</v>
      </c>
      <c r="F135" s="36">
        <v>0</v>
      </c>
      <c r="G135" s="36">
        <v>0</v>
      </c>
      <c r="H135" s="13">
        <f t="shared" si="7"/>
        <v>0</v>
      </c>
      <c r="I135" s="12"/>
      <c r="J135" s="14">
        <f t="shared" si="6"/>
        <v>0</v>
      </c>
      <c r="L135" s="34">
        <f t="shared" si="8"/>
        <v>0</v>
      </c>
    </row>
    <row r="136" spans="1:12" ht="15.75" x14ac:dyDescent="0.25">
      <c r="B136" s="24">
        <v>473</v>
      </c>
      <c r="C136" s="21" t="s">
        <v>43</v>
      </c>
      <c r="D136" s="11"/>
      <c r="E136" s="36">
        <v>0</v>
      </c>
      <c r="F136" s="36">
        <v>0</v>
      </c>
      <c r="G136" s="36">
        <v>0</v>
      </c>
      <c r="H136" s="13">
        <f t="shared" si="7"/>
        <v>0</v>
      </c>
      <c r="I136" s="12"/>
      <c r="J136" s="14">
        <f t="shared" si="6"/>
        <v>0</v>
      </c>
      <c r="L136" s="34">
        <f t="shared" si="8"/>
        <v>0</v>
      </c>
    </row>
    <row r="137" spans="1:12" ht="15.75" x14ac:dyDescent="0.25">
      <c r="B137" s="24">
        <v>473</v>
      </c>
      <c r="C137" s="21" t="s">
        <v>45</v>
      </c>
      <c r="D137" s="11"/>
      <c r="E137" s="36">
        <v>0</v>
      </c>
      <c r="F137" s="36">
        <v>0</v>
      </c>
      <c r="G137" s="36">
        <v>0</v>
      </c>
      <c r="H137" s="13">
        <f t="shared" si="7"/>
        <v>0</v>
      </c>
      <c r="I137" s="12"/>
      <c r="J137" s="14">
        <f t="shared" si="6"/>
        <v>0</v>
      </c>
      <c r="L137" s="34">
        <f t="shared" si="8"/>
        <v>0</v>
      </c>
    </row>
    <row r="138" spans="1:12" ht="15.75" x14ac:dyDescent="0.25">
      <c r="A138">
        <v>599675</v>
      </c>
      <c r="B138" s="24">
        <v>473</v>
      </c>
      <c r="C138" s="21" t="s">
        <v>99</v>
      </c>
      <c r="D138" s="11"/>
      <c r="E138" s="36">
        <v>0</v>
      </c>
      <c r="F138" s="36">
        <v>0</v>
      </c>
      <c r="G138" s="36">
        <v>0</v>
      </c>
      <c r="H138" s="13">
        <f t="shared" si="7"/>
        <v>0</v>
      </c>
      <c r="I138" s="12"/>
      <c r="J138" s="14">
        <f t="shared" si="6"/>
        <v>0</v>
      </c>
      <c r="L138" s="34">
        <f t="shared" si="8"/>
        <v>0</v>
      </c>
    </row>
    <row r="139" spans="1:12" ht="15.75" x14ac:dyDescent="0.25">
      <c r="B139" s="20">
        <v>473</v>
      </c>
      <c r="C139" s="21" t="s">
        <v>46</v>
      </c>
      <c r="D139" s="11"/>
      <c r="E139" s="36">
        <v>0</v>
      </c>
      <c r="F139" s="36">
        <v>0</v>
      </c>
      <c r="G139" s="36">
        <v>0</v>
      </c>
      <c r="H139" s="13">
        <f t="shared" si="7"/>
        <v>0</v>
      </c>
      <c r="I139" s="12"/>
      <c r="J139" s="14">
        <f t="shared" si="6"/>
        <v>0</v>
      </c>
      <c r="L139" s="34">
        <f t="shared" si="8"/>
        <v>0</v>
      </c>
    </row>
    <row r="140" spans="1:12" ht="15.75" x14ac:dyDescent="0.25">
      <c r="A140">
        <v>522564</v>
      </c>
      <c r="B140" s="20">
        <v>473</v>
      </c>
      <c r="C140" s="21" t="s">
        <v>100</v>
      </c>
      <c r="D140" s="11"/>
      <c r="E140" s="36">
        <v>0</v>
      </c>
      <c r="F140" s="36">
        <v>0</v>
      </c>
      <c r="G140" s="36">
        <v>0</v>
      </c>
      <c r="H140" s="13">
        <f t="shared" si="7"/>
        <v>0</v>
      </c>
      <c r="I140" s="12"/>
      <c r="J140" s="14">
        <f>H140-I140</f>
        <v>0</v>
      </c>
      <c r="L140" s="34">
        <f t="shared" si="8"/>
        <v>0</v>
      </c>
    </row>
    <row r="141" spans="1:12" ht="15.75" x14ac:dyDescent="0.25">
      <c r="B141" s="20">
        <v>625</v>
      </c>
      <c r="C141" s="21" t="s">
        <v>100</v>
      </c>
      <c r="D141" s="11"/>
      <c r="E141" s="36">
        <v>0</v>
      </c>
      <c r="F141" s="36">
        <v>0</v>
      </c>
      <c r="G141" s="36">
        <v>0</v>
      </c>
      <c r="H141" s="13">
        <f t="shared" si="7"/>
        <v>0</v>
      </c>
      <c r="I141" s="12"/>
      <c r="J141" s="14">
        <f t="shared" si="6"/>
        <v>0</v>
      </c>
      <c r="L141" s="34">
        <f t="shared" si="8"/>
        <v>0</v>
      </c>
    </row>
    <row r="142" spans="1:12" ht="15.75" x14ac:dyDescent="0.25">
      <c r="A142" t="s">
        <v>101</v>
      </c>
      <c r="B142" s="20"/>
      <c r="C142" s="21" t="s">
        <v>102</v>
      </c>
      <c r="D142" s="11"/>
      <c r="E142" s="36">
        <v>0</v>
      </c>
      <c r="F142" s="36">
        <v>0</v>
      </c>
      <c r="G142" s="36">
        <v>0</v>
      </c>
      <c r="H142" s="13">
        <f t="shared" si="7"/>
        <v>0</v>
      </c>
      <c r="I142" s="12"/>
      <c r="J142" s="14">
        <f t="shared" si="6"/>
        <v>0</v>
      </c>
      <c r="L142" s="34">
        <f t="shared" si="8"/>
        <v>0</v>
      </c>
    </row>
    <row r="143" spans="1:12" ht="15.75" x14ac:dyDescent="0.25">
      <c r="B143" s="20">
        <v>400</v>
      </c>
      <c r="C143" s="21" t="s">
        <v>103</v>
      </c>
      <c r="D143" s="11"/>
      <c r="E143" s="36">
        <v>0</v>
      </c>
      <c r="F143" s="36">
        <v>0</v>
      </c>
      <c r="G143" s="36">
        <v>0</v>
      </c>
      <c r="H143" s="13">
        <f t="shared" si="7"/>
        <v>0</v>
      </c>
      <c r="I143" s="12"/>
      <c r="J143" s="14">
        <f t="shared" si="6"/>
        <v>0</v>
      </c>
      <c r="L143" s="34">
        <f t="shared" si="8"/>
        <v>0</v>
      </c>
    </row>
    <row r="144" spans="1:12" ht="15.75" x14ac:dyDescent="0.25">
      <c r="B144" s="20">
        <v>300</v>
      </c>
      <c r="C144" s="21" t="s">
        <v>43</v>
      </c>
      <c r="D144" s="11"/>
      <c r="E144" s="36">
        <v>0</v>
      </c>
      <c r="F144" s="36">
        <v>0</v>
      </c>
      <c r="G144" s="36">
        <v>0</v>
      </c>
      <c r="H144" s="13">
        <f t="shared" si="7"/>
        <v>0</v>
      </c>
      <c r="I144" s="12"/>
      <c r="J144" s="14">
        <f t="shared" si="6"/>
        <v>0</v>
      </c>
      <c r="L144" s="34">
        <f t="shared" si="8"/>
        <v>0</v>
      </c>
    </row>
    <row r="145" spans="1:12" ht="15.75" x14ac:dyDescent="0.25">
      <c r="B145" s="20">
        <v>300</v>
      </c>
      <c r="C145" s="21" t="s">
        <v>45</v>
      </c>
      <c r="D145" s="11"/>
      <c r="E145" s="36">
        <v>0</v>
      </c>
      <c r="F145" s="36">
        <v>0</v>
      </c>
      <c r="G145" s="36">
        <v>0</v>
      </c>
      <c r="H145" s="13">
        <f t="shared" si="7"/>
        <v>0</v>
      </c>
      <c r="I145" s="12"/>
      <c r="J145" s="14">
        <f t="shared" si="6"/>
        <v>0</v>
      </c>
      <c r="L145" s="34">
        <f t="shared" si="8"/>
        <v>0</v>
      </c>
    </row>
    <row r="146" spans="1:12" ht="15.75" x14ac:dyDescent="0.25">
      <c r="B146" s="20">
        <v>300</v>
      </c>
      <c r="C146" s="21" t="s">
        <v>44</v>
      </c>
      <c r="D146" s="11"/>
      <c r="E146" s="36">
        <v>0</v>
      </c>
      <c r="F146" s="36">
        <v>0</v>
      </c>
      <c r="G146" s="36">
        <v>0</v>
      </c>
      <c r="H146" s="13">
        <f t="shared" si="7"/>
        <v>0</v>
      </c>
      <c r="I146" s="12"/>
      <c r="J146" s="14">
        <f t="shared" si="6"/>
        <v>0</v>
      </c>
      <c r="L146" s="34">
        <f t="shared" si="8"/>
        <v>0</v>
      </c>
    </row>
    <row r="147" spans="1:12" ht="15.75" x14ac:dyDescent="0.25">
      <c r="B147" s="20">
        <v>1090</v>
      </c>
      <c r="C147" s="21" t="s">
        <v>11</v>
      </c>
      <c r="D147" s="11"/>
      <c r="E147" s="36">
        <v>0</v>
      </c>
      <c r="F147" s="36">
        <v>0</v>
      </c>
      <c r="G147" s="36">
        <v>0</v>
      </c>
      <c r="H147" s="13">
        <f t="shared" si="7"/>
        <v>0</v>
      </c>
      <c r="I147" s="12"/>
      <c r="J147" s="14">
        <f t="shared" si="6"/>
        <v>0</v>
      </c>
      <c r="L147" s="34">
        <f t="shared" si="8"/>
        <v>0</v>
      </c>
    </row>
    <row r="148" spans="1:12" ht="15.75" x14ac:dyDescent="0.25">
      <c r="B148" s="20">
        <v>2600</v>
      </c>
      <c r="C148" s="21" t="s">
        <v>11</v>
      </c>
      <c r="D148" s="11"/>
      <c r="E148" s="36">
        <v>0</v>
      </c>
      <c r="F148" s="36">
        <v>0</v>
      </c>
      <c r="G148" s="36">
        <v>0</v>
      </c>
      <c r="H148" s="13">
        <f t="shared" si="7"/>
        <v>0</v>
      </c>
      <c r="I148" s="12"/>
      <c r="J148" s="14">
        <f t="shared" si="6"/>
        <v>0</v>
      </c>
      <c r="L148" s="34">
        <f t="shared" si="8"/>
        <v>0</v>
      </c>
    </row>
    <row r="149" spans="1:12" ht="15.75" x14ac:dyDescent="0.25">
      <c r="B149" s="20">
        <v>250</v>
      </c>
      <c r="C149" s="21" t="s">
        <v>104</v>
      </c>
      <c r="D149" s="11"/>
      <c r="E149" s="36">
        <v>0</v>
      </c>
      <c r="F149" s="36">
        <v>0</v>
      </c>
      <c r="G149" s="36">
        <v>0</v>
      </c>
      <c r="H149" s="13">
        <f t="shared" si="7"/>
        <v>0</v>
      </c>
      <c r="I149" s="12"/>
      <c r="J149" s="14">
        <f t="shared" si="6"/>
        <v>0</v>
      </c>
      <c r="L149" s="34">
        <f t="shared" si="8"/>
        <v>0</v>
      </c>
    </row>
    <row r="150" spans="1:12" ht="15.75" x14ac:dyDescent="0.25">
      <c r="B150" s="20"/>
      <c r="C150" s="21" t="s">
        <v>105</v>
      </c>
      <c r="D150" s="11"/>
      <c r="E150" s="36">
        <v>0</v>
      </c>
      <c r="F150" s="36">
        <v>0</v>
      </c>
      <c r="G150" s="36">
        <v>0</v>
      </c>
      <c r="H150" s="13">
        <f t="shared" si="7"/>
        <v>0</v>
      </c>
      <c r="I150" s="12"/>
      <c r="J150" s="14">
        <f t="shared" si="6"/>
        <v>0</v>
      </c>
      <c r="L150" s="34">
        <f t="shared" si="8"/>
        <v>0</v>
      </c>
    </row>
    <row r="151" spans="1:12" ht="15.75" x14ac:dyDescent="0.25">
      <c r="B151" s="20"/>
      <c r="C151" s="21" t="s">
        <v>16</v>
      </c>
      <c r="D151" s="11"/>
      <c r="E151" s="36">
        <v>0</v>
      </c>
      <c r="F151" s="36">
        <v>0</v>
      </c>
      <c r="G151" s="36">
        <v>0</v>
      </c>
      <c r="H151" s="13">
        <f t="shared" si="7"/>
        <v>0</v>
      </c>
      <c r="I151" s="12"/>
      <c r="J151" s="14">
        <f t="shared" si="6"/>
        <v>0</v>
      </c>
      <c r="L151" s="34">
        <f t="shared" si="8"/>
        <v>0</v>
      </c>
    </row>
    <row r="152" spans="1:12" ht="15.75" x14ac:dyDescent="0.25">
      <c r="B152" s="20"/>
      <c r="C152" s="21" t="s">
        <v>106</v>
      </c>
      <c r="D152" s="11"/>
      <c r="E152" s="36">
        <v>0</v>
      </c>
      <c r="F152" s="36">
        <v>0</v>
      </c>
      <c r="G152" s="36">
        <v>0</v>
      </c>
      <c r="H152" s="13">
        <f t="shared" si="7"/>
        <v>0</v>
      </c>
      <c r="I152" s="12"/>
      <c r="J152" s="14">
        <f t="shared" si="6"/>
        <v>0</v>
      </c>
      <c r="L152" s="34">
        <f t="shared" si="8"/>
        <v>0</v>
      </c>
    </row>
    <row r="153" spans="1:12" ht="15.75" x14ac:dyDescent="0.25">
      <c r="B153" s="20"/>
      <c r="C153" s="21" t="s">
        <v>107</v>
      </c>
      <c r="D153" s="11"/>
      <c r="E153" s="36">
        <v>0</v>
      </c>
      <c r="F153" s="36">
        <v>0</v>
      </c>
      <c r="G153" s="36">
        <v>0</v>
      </c>
      <c r="H153" s="13">
        <f t="shared" si="7"/>
        <v>0</v>
      </c>
      <c r="I153" s="12"/>
      <c r="J153" s="14">
        <f t="shared" si="6"/>
        <v>0</v>
      </c>
      <c r="L153" s="34">
        <f t="shared" si="8"/>
        <v>0</v>
      </c>
    </row>
    <row r="154" spans="1:12" ht="15.75" x14ac:dyDescent="0.25">
      <c r="B154" s="20"/>
      <c r="C154" s="21" t="s">
        <v>108</v>
      </c>
      <c r="D154" s="11"/>
      <c r="E154" s="36">
        <v>0</v>
      </c>
      <c r="F154" s="36">
        <v>0</v>
      </c>
      <c r="G154" s="36">
        <v>0</v>
      </c>
      <c r="H154" s="13">
        <f t="shared" si="7"/>
        <v>0</v>
      </c>
      <c r="I154" s="12"/>
      <c r="J154" s="14">
        <f t="shared" si="6"/>
        <v>0</v>
      </c>
      <c r="L154" s="34">
        <f t="shared" si="8"/>
        <v>0</v>
      </c>
    </row>
    <row r="155" spans="1:12" ht="15.75" x14ac:dyDescent="0.25">
      <c r="A155">
        <v>699952</v>
      </c>
      <c r="B155" s="20"/>
      <c r="C155" s="21" t="s">
        <v>109</v>
      </c>
      <c r="D155" s="11"/>
      <c r="E155" s="36">
        <v>0</v>
      </c>
      <c r="F155" s="36">
        <v>0</v>
      </c>
      <c r="G155" s="36">
        <v>0</v>
      </c>
      <c r="H155" s="13">
        <f t="shared" si="7"/>
        <v>0</v>
      </c>
      <c r="I155" s="12"/>
      <c r="J155" s="14">
        <f t="shared" si="6"/>
        <v>0</v>
      </c>
      <c r="L155" s="34">
        <f t="shared" si="8"/>
        <v>0</v>
      </c>
    </row>
    <row r="156" spans="1:12" ht="15.75" x14ac:dyDescent="0.25">
      <c r="A156">
        <v>501020</v>
      </c>
      <c r="B156" s="24">
        <v>360</v>
      </c>
      <c r="C156" s="21" t="s">
        <v>110</v>
      </c>
      <c r="D156" s="11">
        <v>19</v>
      </c>
      <c r="E156" s="36">
        <v>10</v>
      </c>
      <c r="F156" s="36">
        <v>0</v>
      </c>
      <c r="G156" s="36">
        <v>5</v>
      </c>
      <c r="H156" s="13">
        <f t="shared" si="7"/>
        <v>34</v>
      </c>
      <c r="I156" s="12"/>
      <c r="J156" s="14">
        <f t="shared" si="6"/>
        <v>34</v>
      </c>
      <c r="K156">
        <v>34</v>
      </c>
      <c r="L156" s="34">
        <f t="shared" si="8"/>
        <v>0</v>
      </c>
    </row>
    <row r="157" spans="1:12" ht="15.75" x14ac:dyDescent="0.25">
      <c r="A157">
        <v>501505</v>
      </c>
      <c r="B157" s="24">
        <v>360</v>
      </c>
      <c r="C157" s="21" t="s">
        <v>17</v>
      </c>
      <c r="D157" s="11"/>
      <c r="E157" s="36">
        <v>0</v>
      </c>
      <c r="F157" s="36">
        <v>0</v>
      </c>
      <c r="G157" s="36">
        <v>0</v>
      </c>
      <c r="H157" s="13">
        <f t="shared" si="7"/>
        <v>0</v>
      </c>
      <c r="I157" s="12"/>
      <c r="J157" s="14">
        <f t="shared" si="6"/>
        <v>0</v>
      </c>
      <c r="L157" s="34">
        <f t="shared" si="8"/>
        <v>0</v>
      </c>
    </row>
    <row r="158" spans="1:12" ht="15.75" x14ac:dyDescent="0.25">
      <c r="B158" s="20">
        <v>250</v>
      </c>
      <c r="C158" s="21" t="s">
        <v>111</v>
      </c>
      <c r="D158" s="11"/>
      <c r="E158" s="36">
        <v>0</v>
      </c>
      <c r="F158" s="36">
        <v>0</v>
      </c>
      <c r="G158" s="36">
        <v>0</v>
      </c>
      <c r="H158" s="13">
        <f t="shared" si="7"/>
        <v>0</v>
      </c>
      <c r="I158" s="12"/>
      <c r="J158" s="14">
        <f t="shared" si="6"/>
        <v>0</v>
      </c>
      <c r="L158" s="34">
        <f t="shared" si="8"/>
        <v>0</v>
      </c>
    </row>
    <row r="159" spans="1:12" ht="15.75" x14ac:dyDescent="0.25">
      <c r="B159" s="20">
        <v>250</v>
      </c>
      <c r="C159" s="21" t="s">
        <v>112</v>
      </c>
      <c r="D159" s="11"/>
      <c r="E159" s="36">
        <v>0</v>
      </c>
      <c r="F159" s="36">
        <v>0</v>
      </c>
      <c r="G159" s="36">
        <v>0</v>
      </c>
      <c r="H159" s="13">
        <f t="shared" si="7"/>
        <v>0</v>
      </c>
      <c r="I159" s="12"/>
      <c r="J159" s="14">
        <f t="shared" si="6"/>
        <v>0</v>
      </c>
      <c r="L159" s="34">
        <f t="shared" si="8"/>
        <v>0</v>
      </c>
    </row>
    <row r="160" spans="1:12" ht="15.75" x14ac:dyDescent="0.25">
      <c r="A160">
        <v>501207</v>
      </c>
      <c r="B160" s="20">
        <v>360</v>
      </c>
      <c r="C160" s="21" t="s">
        <v>113</v>
      </c>
      <c r="D160" s="11"/>
      <c r="E160" s="36">
        <v>0</v>
      </c>
      <c r="F160" s="36">
        <v>0</v>
      </c>
      <c r="G160" s="36">
        <v>0</v>
      </c>
      <c r="H160" s="13">
        <f t="shared" si="7"/>
        <v>0</v>
      </c>
      <c r="I160" s="12"/>
      <c r="J160" s="14">
        <f t="shared" si="6"/>
        <v>0</v>
      </c>
      <c r="L160" s="34">
        <f t="shared" si="8"/>
        <v>0</v>
      </c>
    </row>
    <row r="161" spans="1:12" ht="15.75" x14ac:dyDescent="0.25">
      <c r="A161">
        <v>599858</v>
      </c>
      <c r="B161" s="22"/>
      <c r="C161" s="23" t="s">
        <v>114</v>
      </c>
      <c r="D161" s="11"/>
      <c r="E161" s="36">
        <v>0</v>
      </c>
      <c r="F161" s="36">
        <v>0</v>
      </c>
      <c r="G161" s="36">
        <v>0</v>
      </c>
      <c r="H161" s="13">
        <f t="shared" si="7"/>
        <v>0</v>
      </c>
      <c r="I161" s="12"/>
      <c r="J161" s="14">
        <f t="shared" si="6"/>
        <v>0</v>
      </c>
      <c r="L161" s="34">
        <f t="shared" si="8"/>
        <v>0</v>
      </c>
    </row>
    <row r="162" spans="1:12" ht="15.75" x14ac:dyDescent="0.25">
      <c r="A162">
        <v>599857</v>
      </c>
      <c r="B162" s="22"/>
      <c r="C162" s="23" t="s">
        <v>115</v>
      </c>
      <c r="D162" s="11"/>
      <c r="E162" s="36">
        <v>0</v>
      </c>
      <c r="F162" s="36">
        <v>0</v>
      </c>
      <c r="G162" s="36">
        <v>0</v>
      </c>
      <c r="H162" s="13">
        <f t="shared" si="7"/>
        <v>0</v>
      </c>
      <c r="I162" s="12"/>
      <c r="J162" s="14">
        <f t="shared" si="6"/>
        <v>0</v>
      </c>
      <c r="L162" s="34">
        <f t="shared" si="8"/>
        <v>0</v>
      </c>
    </row>
    <row r="163" spans="1:12" ht="15.75" x14ac:dyDescent="0.25">
      <c r="A163">
        <v>621972</v>
      </c>
      <c r="B163" s="20"/>
      <c r="C163" s="21" t="s">
        <v>116</v>
      </c>
      <c r="D163" s="11"/>
      <c r="E163" s="36">
        <v>0</v>
      </c>
      <c r="F163" s="36">
        <v>0</v>
      </c>
      <c r="G163" s="36">
        <v>0</v>
      </c>
      <c r="H163" s="13">
        <f t="shared" si="7"/>
        <v>0</v>
      </c>
      <c r="I163" s="12"/>
      <c r="J163" s="14">
        <f t="shared" si="6"/>
        <v>0</v>
      </c>
      <c r="L163" s="34">
        <f t="shared" si="8"/>
        <v>0</v>
      </c>
    </row>
    <row r="164" spans="1:12" ht="15.75" x14ac:dyDescent="0.25">
      <c r="A164">
        <v>622165</v>
      </c>
      <c r="B164" s="20"/>
      <c r="C164" s="21" t="s">
        <v>117</v>
      </c>
      <c r="D164" s="11">
        <v>1</v>
      </c>
      <c r="E164" s="36">
        <v>1</v>
      </c>
      <c r="F164" s="36">
        <v>0</v>
      </c>
      <c r="G164" s="36">
        <v>1</v>
      </c>
      <c r="H164" s="13">
        <f t="shared" si="7"/>
        <v>3</v>
      </c>
      <c r="I164" s="12"/>
      <c r="J164" s="14">
        <f t="shared" si="6"/>
        <v>3</v>
      </c>
      <c r="K164">
        <v>3</v>
      </c>
      <c r="L164" s="34">
        <f t="shared" si="8"/>
        <v>0</v>
      </c>
    </row>
    <row r="165" spans="1:12" ht="15.75" x14ac:dyDescent="0.25">
      <c r="B165" s="20">
        <v>300</v>
      </c>
      <c r="C165" s="21" t="s">
        <v>104</v>
      </c>
      <c r="D165" s="11"/>
      <c r="E165" s="36">
        <v>0</v>
      </c>
      <c r="F165" s="36">
        <v>0</v>
      </c>
      <c r="G165" s="36">
        <v>0</v>
      </c>
      <c r="H165" s="13">
        <f t="shared" si="7"/>
        <v>0</v>
      </c>
      <c r="I165" s="12"/>
      <c r="J165" s="14">
        <f t="shared" si="6"/>
        <v>0</v>
      </c>
      <c r="L165" s="34">
        <f t="shared" si="8"/>
        <v>0</v>
      </c>
    </row>
    <row r="166" spans="1:12" ht="15.75" x14ac:dyDescent="0.25">
      <c r="A166">
        <v>622164</v>
      </c>
      <c r="B166" s="20"/>
      <c r="C166" s="21" t="s">
        <v>118</v>
      </c>
      <c r="D166" s="11"/>
      <c r="E166" s="36">
        <v>0</v>
      </c>
      <c r="F166" s="36">
        <v>0</v>
      </c>
      <c r="G166" s="36">
        <v>0</v>
      </c>
      <c r="H166" s="13">
        <f t="shared" si="7"/>
        <v>0</v>
      </c>
      <c r="I166" s="12"/>
      <c r="J166" s="14">
        <f t="shared" si="6"/>
        <v>0</v>
      </c>
      <c r="L166" s="34">
        <f t="shared" si="8"/>
        <v>0</v>
      </c>
    </row>
    <row r="167" spans="1:12" ht="15.75" x14ac:dyDescent="0.25">
      <c r="A167">
        <v>621967</v>
      </c>
      <c r="B167" s="20"/>
      <c r="C167" s="21" t="s">
        <v>118</v>
      </c>
      <c r="D167" s="11">
        <v>1</v>
      </c>
      <c r="E167" s="36">
        <v>1</v>
      </c>
      <c r="F167" s="36">
        <v>0</v>
      </c>
      <c r="G167" s="36">
        <v>1</v>
      </c>
      <c r="H167" s="13">
        <f t="shared" si="7"/>
        <v>3</v>
      </c>
      <c r="I167" s="12"/>
      <c r="J167" s="14">
        <f t="shared" si="6"/>
        <v>3</v>
      </c>
      <c r="K167">
        <v>4</v>
      </c>
      <c r="L167" s="37">
        <f t="shared" si="8"/>
        <v>1</v>
      </c>
    </row>
    <row r="168" spans="1:12" ht="15.75" x14ac:dyDescent="0.25">
      <c r="A168">
        <v>500032</v>
      </c>
      <c r="B168" s="24">
        <v>360</v>
      </c>
      <c r="C168" s="21" t="s">
        <v>104</v>
      </c>
      <c r="D168" s="11">
        <v>25</v>
      </c>
      <c r="E168" s="36">
        <v>15</v>
      </c>
      <c r="F168" s="36">
        <v>5</v>
      </c>
      <c r="G168" s="36">
        <v>29</v>
      </c>
      <c r="H168" s="13">
        <f t="shared" si="7"/>
        <v>74</v>
      </c>
      <c r="I168" s="12"/>
      <c r="J168" s="14">
        <f t="shared" si="6"/>
        <v>74</v>
      </c>
      <c r="K168">
        <v>74</v>
      </c>
      <c r="L168" s="34">
        <f t="shared" si="8"/>
        <v>0</v>
      </c>
    </row>
    <row r="169" spans="1:12" ht="15.75" x14ac:dyDescent="0.25">
      <c r="A169">
        <v>522459</v>
      </c>
      <c r="B169" s="24">
        <v>360</v>
      </c>
      <c r="C169" s="21" t="s">
        <v>119</v>
      </c>
      <c r="D169" s="11">
        <v>117</v>
      </c>
      <c r="E169" s="36">
        <v>20</v>
      </c>
      <c r="F169" s="36">
        <v>30</v>
      </c>
      <c r="G169" s="36">
        <v>25</v>
      </c>
      <c r="H169" s="13">
        <f t="shared" si="7"/>
        <v>192</v>
      </c>
      <c r="I169" s="12"/>
      <c r="J169" s="14">
        <f t="shared" si="6"/>
        <v>192</v>
      </c>
      <c r="K169">
        <v>192</v>
      </c>
      <c r="L169" s="34">
        <f t="shared" si="8"/>
        <v>0</v>
      </c>
    </row>
    <row r="170" spans="1:12" ht="15.75" x14ac:dyDescent="0.25">
      <c r="A170">
        <v>522451</v>
      </c>
      <c r="B170" s="24">
        <v>360</v>
      </c>
      <c r="C170" s="21" t="s">
        <v>120</v>
      </c>
      <c r="D170" s="11">
        <v>79</v>
      </c>
      <c r="E170" s="36">
        <v>20</v>
      </c>
      <c r="F170" s="36">
        <v>42</v>
      </c>
      <c r="G170" s="36">
        <v>25</v>
      </c>
      <c r="H170" s="13">
        <f t="shared" si="7"/>
        <v>166</v>
      </c>
      <c r="I170" s="12"/>
      <c r="J170" s="14">
        <f t="shared" si="6"/>
        <v>166</v>
      </c>
      <c r="K170">
        <v>168</v>
      </c>
      <c r="L170" s="37">
        <f t="shared" si="8"/>
        <v>2</v>
      </c>
    </row>
    <row r="171" spans="1:12" ht="15.75" x14ac:dyDescent="0.25">
      <c r="A171">
        <v>522450</v>
      </c>
      <c r="B171" s="24">
        <v>360</v>
      </c>
      <c r="C171" s="21" t="s">
        <v>121</v>
      </c>
      <c r="D171" s="11">
        <v>6</v>
      </c>
      <c r="E171" s="36">
        <v>20</v>
      </c>
      <c r="F171" s="36">
        <v>18</v>
      </c>
      <c r="G171" s="36">
        <v>25</v>
      </c>
      <c r="H171" s="13">
        <f t="shared" si="7"/>
        <v>69</v>
      </c>
      <c r="I171" s="12"/>
      <c r="J171" s="14">
        <f t="shared" si="6"/>
        <v>69</v>
      </c>
      <c r="K171">
        <v>78</v>
      </c>
      <c r="L171" s="37">
        <f t="shared" si="8"/>
        <v>9</v>
      </c>
    </row>
    <row r="172" spans="1:12" ht="15.75" x14ac:dyDescent="0.25">
      <c r="A172">
        <v>522461</v>
      </c>
      <c r="B172" s="20">
        <v>360</v>
      </c>
      <c r="C172" s="21" t="s">
        <v>122</v>
      </c>
      <c r="D172" s="11"/>
      <c r="E172" s="36">
        <v>0</v>
      </c>
      <c r="F172" s="36">
        <v>0</v>
      </c>
      <c r="G172" s="36">
        <v>0</v>
      </c>
      <c r="H172" s="13">
        <f t="shared" si="7"/>
        <v>0</v>
      </c>
      <c r="I172" s="12"/>
      <c r="J172" s="14">
        <f t="shared" si="6"/>
        <v>0</v>
      </c>
      <c r="L172" s="34">
        <f t="shared" si="8"/>
        <v>0</v>
      </c>
    </row>
    <row r="173" spans="1:12" ht="15.75" x14ac:dyDescent="0.25">
      <c r="A173">
        <v>522463</v>
      </c>
      <c r="B173" s="20">
        <v>360</v>
      </c>
      <c r="C173" s="21" t="s">
        <v>123</v>
      </c>
      <c r="D173" s="11"/>
      <c r="E173" s="36">
        <v>0</v>
      </c>
      <c r="F173" s="36">
        <v>0</v>
      </c>
      <c r="G173" s="36">
        <v>0</v>
      </c>
      <c r="H173" s="13">
        <f t="shared" si="7"/>
        <v>0</v>
      </c>
      <c r="I173" s="12"/>
      <c r="J173" s="14">
        <f t="shared" si="6"/>
        <v>0</v>
      </c>
      <c r="L173" s="34">
        <f t="shared" si="8"/>
        <v>0</v>
      </c>
    </row>
    <row r="174" spans="1:12" ht="15.75" x14ac:dyDescent="0.25">
      <c r="A174">
        <v>522462</v>
      </c>
      <c r="B174" s="22">
        <v>360</v>
      </c>
      <c r="C174" s="23" t="s">
        <v>124</v>
      </c>
      <c r="D174" s="11"/>
      <c r="E174" s="36">
        <v>0</v>
      </c>
      <c r="F174" s="36">
        <v>0</v>
      </c>
      <c r="G174" s="36">
        <v>0</v>
      </c>
      <c r="H174" s="13">
        <f t="shared" si="7"/>
        <v>0</v>
      </c>
      <c r="I174" s="12"/>
      <c r="J174" s="14">
        <f t="shared" si="6"/>
        <v>0</v>
      </c>
      <c r="L174" s="34">
        <f t="shared" si="8"/>
        <v>0</v>
      </c>
    </row>
    <row r="175" spans="1:12" ht="15.75" x14ac:dyDescent="0.25">
      <c r="A175">
        <v>522460</v>
      </c>
      <c r="B175" s="22">
        <v>360</v>
      </c>
      <c r="C175" s="23" t="s">
        <v>125</v>
      </c>
      <c r="D175" s="11"/>
      <c r="E175" s="36">
        <v>0</v>
      </c>
      <c r="F175" s="36">
        <v>0</v>
      </c>
      <c r="G175" s="36">
        <v>0</v>
      </c>
      <c r="H175" s="13">
        <f t="shared" si="7"/>
        <v>0</v>
      </c>
      <c r="I175" s="12"/>
      <c r="J175" s="14">
        <f t="shared" si="6"/>
        <v>0</v>
      </c>
      <c r="L175" s="34">
        <f t="shared" si="8"/>
        <v>0</v>
      </c>
    </row>
    <row r="176" spans="1:12" ht="15.75" x14ac:dyDescent="0.25">
      <c r="A176">
        <v>522921</v>
      </c>
      <c r="B176" s="20">
        <v>600</v>
      </c>
      <c r="C176" s="21" t="s">
        <v>126</v>
      </c>
      <c r="D176" s="11"/>
      <c r="E176" s="36">
        <v>0</v>
      </c>
      <c r="F176" s="36">
        <v>0</v>
      </c>
      <c r="G176" s="36">
        <v>0</v>
      </c>
      <c r="H176" s="13">
        <f t="shared" si="7"/>
        <v>0</v>
      </c>
      <c r="I176" s="12"/>
      <c r="J176" s="14">
        <f t="shared" si="6"/>
        <v>0</v>
      </c>
      <c r="L176" s="34">
        <f t="shared" si="8"/>
        <v>0</v>
      </c>
    </row>
    <row r="177" spans="1:12" ht="15.75" x14ac:dyDescent="0.25">
      <c r="A177">
        <v>522906</v>
      </c>
      <c r="B177" s="24">
        <v>600</v>
      </c>
      <c r="C177" s="21" t="s">
        <v>121</v>
      </c>
      <c r="D177" s="11"/>
      <c r="E177" s="36">
        <v>0</v>
      </c>
      <c r="F177" s="36">
        <v>0</v>
      </c>
      <c r="G177" s="36">
        <v>0</v>
      </c>
      <c r="H177" s="13">
        <f t="shared" si="7"/>
        <v>0</v>
      </c>
      <c r="I177" s="12"/>
      <c r="J177" s="14">
        <f t="shared" si="6"/>
        <v>0</v>
      </c>
      <c r="L177" s="34">
        <f t="shared" si="8"/>
        <v>0</v>
      </c>
    </row>
    <row r="178" spans="1:12" ht="15.75" x14ac:dyDescent="0.25">
      <c r="A178">
        <v>522907</v>
      </c>
      <c r="B178" s="24">
        <v>600</v>
      </c>
      <c r="C178" s="21" t="s">
        <v>120</v>
      </c>
      <c r="D178" s="11"/>
      <c r="E178" s="36">
        <v>0</v>
      </c>
      <c r="F178" s="36">
        <v>0</v>
      </c>
      <c r="G178" s="36">
        <v>0</v>
      </c>
      <c r="H178" s="13">
        <f t="shared" si="7"/>
        <v>0</v>
      </c>
      <c r="I178" s="12"/>
      <c r="J178" s="14">
        <f t="shared" si="6"/>
        <v>0</v>
      </c>
      <c r="L178" s="34">
        <f t="shared" si="8"/>
        <v>0</v>
      </c>
    </row>
    <row r="179" spans="1:12" ht="15.75" x14ac:dyDescent="0.25">
      <c r="A179">
        <v>522499</v>
      </c>
      <c r="B179" s="20">
        <v>625</v>
      </c>
      <c r="C179" s="21" t="s">
        <v>14</v>
      </c>
      <c r="D179" s="11"/>
      <c r="E179" s="36">
        <v>0</v>
      </c>
      <c r="F179" s="36">
        <v>0</v>
      </c>
      <c r="G179" s="36">
        <v>0</v>
      </c>
      <c r="H179" s="13">
        <f t="shared" si="7"/>
        <v>0</v>
      </c>
      <c r="I179" s="12"/>
      <c r="J179" s="14">
        <f t="shared" si="6"/>
        <v>0</v>
      </c>
      <c r="L179" s="34">
        <f t="shared" si="8"/>
        <v>0</v>
      </c>
    </row>
    <row r="180" spans="1:12" ht="15.75" x14ac:dyDescent="0.25">
      <c r="A180">
        <v>522496</v>
      </c>
      <c r="B180" s="20">
        <v>625</v>
      </c>
      <c r="C180" s="21" t="s">
        <v>127</v>
      </c>
      <c r="D180" s="11"/>
      <c r="E180" s="36">
        <v>0</v>
      </c>
      <c r="F180" s="36">
        <v>0</v>
      </c>
      <c r="G180" s="36">
        <v>0</v>
      </c>
      <c r="H180" s="13">
        <f t="shared" si="7"/>
        <v>0</v>
      </c>
      <c r="I180" s="12"/>
      <c r="J180" s="14">
        <f t="shared" si="6"/>
        <v>0</v>
      </c>
      <c r="L180" s="34">
        <f t="shared" si="8"/>
        <v>0</v>
      </c>
    </row>
    <row r="181" spans="1:12" ht="15.75" x14ac:dyDescent="0.25">
      <c r="A181">
        <v>522498</v>
      </c>
      <c r="B181" s="20">
        <v>625</v>
      </c>
      <c r="C181" s="21" t="s">
        <v>128</v>
      </c>
      <c r="D181" s="11"/>
      <c r="E181" s="36">
        <v>0</v>
      </c>
      <c r="F181" s="36">
        <v>0</v>
      </c>
      <c r="G181" s="36">
        <v>0</v>
      </c>
      <c r="H181" s="13">
        <f t="shared" si="7"/>
        <v>0</v>
      </c>
      <c r="I181" s="12"/>
      <c r="J181" s="14">
        <f t="shared" si="6"/>
        <v>0</v>
      </c>
      <c r="L181" s="34">
        <f t="shared" si="8"/>
        <v>0</v>
      </c>
    </row>
    <row r="182" spans="1:12" ht="15.75" x14ac:dyDescent="0.25">
      <c r="A182">
        <v>522497</v>
      </c>
      <c r="B182" s="20">
        <v>625</v>
      </c>
      <c r="C182" s="21" t="s">
        <v>129</v>
      </c>
      <c r="D182" s="11"/>
      <c r="E182" s="36">
        <v>0</v>
      </c>
      <c r="F182" s="36">
        <v>0</v>
      </c>
      <c r="G182" s="36">
        <v>0</v>
      </c>
      <c r="H182" s="13">
        <f t="shared" si="7"/>
        <v>0</v>
      </c>
      <c r="I182" s="12"/>
      <c r="J182" s="14">
        <f t="shared" si="6"/>
        <v>0</v>
      </c>
      <c r="L182" s="34">
        <f t="shared" si="8"/>
        <v>0</v>
      </c>
    </row>
    <row r="183" spans="1:12" ht="15.75" x14ac:dyDescent="0.25">
      <c r="A183">
        <v>523188</v>
      </c>
      <c r="B183" s="20"/>
      <c r="C183" s="21" t="s">
        <v>130</v>
      </c>
      <c r="D183" s="11"/>
      <c r="E183" s="36">
        <v>0</v>
      </c>
      <c r="F183" s="36">
        <v>0</v>
      </c>
      <c r="G183" s="36">
        <v>3</v>
      </c>
      <c r="H183" s="13">
        <f t="shared" si="7"/>
        <v>3</v>
      </c>
      <c r="I183" s="12"/>
      <c r="J183" s="14">
        <f t="shared" si="6"/>
        <v>3</v>
      </c>
      <c r="K183">
        <v>3</v>
      </c>
      <c r="L183" s="34">
        <f t="shared" si="8"/>
        <v>0</v>
      </c>
    </row>
    <row r="184" spans="1:12" ht="16.5" thickBot="1" x14ac:dyDescent="0.3">
      <c r="B184" s="25"/>
      <c r="C184" s="26"/>
      <c r="D184" s="27"/>
      <c r="E184" s="28"/>
      <c r="F184" s="29"/>
      <c r="G184" s="28"/>
      <c r="H184" s="30"/>
      <c r="I184" s="28"/>
      <c r="J184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workbookViewId="0">
      <selection sqref="A1:XF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7.5703125" bestFit="1" customWidth="1"/>
    <col min="5" max="5" width="8.140625" bestFit="1" customWidth="1"/>
    <col min="6" max="6" width="8.140625" style="33" bestFit="1" customWidth="1"/>
    <col min="7" max="7" width="8.5703125" bestFit="1" customWidth="1"/>
    <col min="8" max="8" width="5.42578125" style="34" bestFit="1" customWidth="1"/>
    <col min="9" max="9" width="8" bestFit="1" customWidth="1"/>
    <col min="10" max="10" width="11.28515625" customWidth="1"/>
    <col min="11" max="11" width="8.7109375" customWidth="1"/>
    <col min="12" max="12" width="5.7109375" style="34" customWidth="1"/>
    <col min="13" max="13" width="5.7109375" customWidth="1"/>
  </cols>
  <sheetData>
    <row r="1" spans="1:12" ht="32.25" thickBot="1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35"/>
    </row>
    <row r="2" spans="1:12" ht="15.75" x14ac:dyDescent="0.25">
      <c r="B2" s="9">
        <v>3300</v>
      </c>
      <c r="C2" s="10" t="s">
        <v>11</v>
      </c>
      <c r="D2" s="11"/>
      <c r="E2" s="36"/>
      <c r="F2" s="36"/>
      <c r="G2" s="36"/>
      <c r="H2" s="13">
        <f>D2+E2+F2+G2</f>
        <v>0</v>
      </c>
      <c r="I2" s="12"/>
      <c r="J2" s="14">
        <f>H2-I2</f>
        <v>0</v>
      </c>
      <c r="L2" s="34">
        <f>K2-H2</f>
        <v>0</v>
      </c>
    </row>
    <row r="3" spans="1:12" ht="15.75" x14ac:dyDescent="0.25">
      <c r="B3" s="9">
        <v>3.5</v>
      </c>
      <c r="C3" s="10" t="s">
        <v>12</v>
      </c>
      <c r="D3" s="11"/>
      <c r="E3" s="36"/>
      <c r="F3" s="36"/>
      <c r="G3" s="36"/>
      <c r="H3" s="13">
        <f t="shared" ref="H3:H66" si="0">D3+E3+F3+G3</f>
        <v>0</v>
      </c>
      <c r="I3" s="12"/>
      <c r="J3" s="14">
        <f t="shared" ref="J3:J55" si="1">H3-I3</f>
        <v>0</v>
      </c>
      <c r="L3" s="34">
        <f t="shared" ref="L3:L66" si="2">K3-H3</f>
        <v>0</v>
      </c>
    </row>
    <row r="4" spans="1:12" ht="15.75" x14ac:dyDescent="0.25">
      <c r="A4">
        <v>511908</v>
      </c>
      <c r="B4" s="9">
        <v>3030</v>
      </c>
      <c r="C4" s="10" t="s">
        <v>12</v>
      </c>
      <c r="D4" s="11"/>
      <c r="E4" s="36"/>
      <c r="F4" s="36"/>
      <c r="G4" s="36"/>
      <c r="H4" s="13">
        <f t="shared" si="0"/>
        <v>0</v>
      </c>
      <c r="I4" s="12"/>
      <c r="J4" s="14">
        <f t="shared" si="1"/>
        <v>0</v>
      </c>
      <c r="L4" s="34">
        <f t="shared" si="2"/>
        <v>0</v>
      </c>
    </row>
    <row r="5" spans="1:12" ht="15.75" x14ac:dyDescent="0.25">
      <c r="A5">
        <v>509671</v>
      </c>
      <c r="B5" s="9">
        <v>3030</v>
      </c>
      <c r="C5" s="10" t="s">
        <v>13</v>
      </c>
      <c r="D5" s="11"/>
      <c r="E5" s="36"/>
      <c r="F5" s="36"/>
      <c r="G5" s="36"/>
      <c r="H5" s="13">
        <f t="shared" si="0"/>
        <v>0</v>
      </c>
      <c r="I5" s="12"/>
      <c r="J5" s="14">
        <f t="shared" si="1"/>
        <v>0</v>
      </c>
      <c r="L5" s="34">
        <f t="shared" si="2"/>
        <v>0</v>
      </c>
    </row>
    <row r="6" spans="1:12" ht="15.75" x14ac:dyDescent="0.25">
      <c r="A6">
        <v>500179</v>
      </c>
      <c r="B6" s="9">
        <v>3030</v>
      </c>
      <c r="C6" s="10" t="s">
        <v>11</v>
      </c>
      <c r="D6" s="11"/>
      <c r="E6" s="36"/>
      <c r="F6" s="36"/>
      <c r="G6" s="36"/>
      <c r="H6" s="13">
        <f t="shared" si="0"/>
        <v>0</v>
      </c>
      <c r="I6" s="12"/>
      <c r="J6" s="14">
        <f t="shared" si="1"/>
        <v>0</v>
      </c>
      <c r="L6" s="34">
        <f t="shared" si="2"/>
        <v>0</v>
      </c>
    </row>
    <row r="7" spans="1:12" ht="15.75" x14ac:dyDescent="0.25">
      <c r="A7">
        <v>501109</v>
      </c>
      <c r="B7" s="9">
        <v>3030</v>
      </c>
      <c r="C7" s="10" t="s">
        <v>14</v>
      </c>
      <c r="D7" s="11"/>
      <c r="E7" s="36"/>
      <c r="F7" s="36"/>
      <c r="G7" s="36"/>
      <c r="H7" s="13">
        <f t="shared" si="0"/>
        <v>0</v>
      </c>
      <c r="I7" s="12"/>
      <c r="J7" s="14">
        <f t="shared" si="1"/>
        <v>0</v>
      </c>
      <c r="L7" s="34">
        <f t="shared" si="2"/>
        <v>0</v>
      </c>
    </row>
    <row r="8" spans="1:12" ht="15.75" x14ac:dyDescent="0.25">
      <c r="A8">
        <v>501244</v>
      </c>
      <c r="B8" s="9">
        <v>3030</v>
      </c>
      <c r="C8" s="10" t="s">
        <v>15</v>
      </c>
      <c r="D8" s="11"/>
      <c r="E8" s="36"/>
      <c r="F8" s="36"/>
      <c r="G8" s="36"/>
      <c r="H8" s="13">
        <f t="shared" si="0"/>
        <v>0</v>
      </c>
      <c r="I8" s="12"/>
      <c r="J8" s="14">
        <f t="shared" si="1"/>
        <v>0</v>
      </c>
      <c r="L8" s="34">
        <f t="shared" si="2"/>
        <v>0</v>
      </c>
    </row>
    <row r="9" spans="1:12" ht="15.75" x14ac:dyDescent="0.25">
      <c r="A9">
        <v>501456</v>
      </c>
      <c r="B9" s="9">
        <v>3030</v>
      </c>
      <c r="C9" s="10" t="s">
        <v>16</v>
      </c>
      <c r="D9" s="11"/>
      <c r="E9" s="36"/>
      <c r="F9" s="36"/>
      <c r="G9" s="36"/>
      <c r="H9" s="13">
        <f t="shared" si="0"/>
        <v>0</v>
      </c>
      <c r="I9" s="12"/>
      <c r="J9" s="14">
        <f t="shared" si="1"/>
        <v>0</v>
      </c>
      <c r="L9" s="34">
        <f t="shared" si="2"/>
        <v>0</v>
      </c>
    </row>
    <row r="10" spans="1:12" ht="15.75" x14ac:dyDescent="0.25">
      <c r="A10">
        <v>501540</v>
      </c>
      <c r="B10" s="9">
        <v>3030</v>
      </c>
      <c r="C10" s="10" t="s">
        <v>17</v>
      </c>
      <c r="D10" s="11"/>
      <c r="E10" s="36"/>
      <c r="F10" s="36"/>
      <c r="G10" s="36"/>
      <c r="H10" s="13">
        <f t="shared" si="0"/>
        <v>0</v>
      </c>
      <c r="I10" s="12"/>
      <c r="J10" s="14">
        <f t="shared" si="1"/>
        <v>0</v>
      </c>
      <c r="L10" s="34">
        <f t="shared" si="2"/>
        <v>0</v>
      </c>
    </row>
    <row r="11" spans="1:12" ht="15.75" x14ac:dyDescent="0.25">
      <c r="B11" s="9">
        <v>3030</v>
      </c>
      <c r="C11" s="10" t="s">
        <v>18</v>
      </c>
      <c r="D11" s="11"/>
      <c r="E11" s="36"/>
      <c r="F11" s="36"/>
      <c r="G11" s="36"/>
      <c r="H11" s="13">
        <f t="shared" si="0"/>
        <v>0</v>
      </c>
      <c r="I11" s="12"/>
      <c r="J11" s="14">
        <f t="shared" si="1"/>
        <v>0</v>
      </c>
      <c r="L11" s="34">
        <f t="shared" si="2"/>
        <v>0</v>
      </c>
    </row>
    <row r="12" spans="1:12" ht="15.75" x14ac:dyDescent="0.25">
      <c r="B12" s="9">
        <v>2250</v>
      </c>
      <c r="C12" s="10" t="s">
        <v>11</v>
      </c>
      <c r="D12" s="11"/>
      <c r="E12" s="36"/>
      <c r="F12" s="36"/>
      <c r="G12" s="36"/>
      <c r="H12" s="13">
        <f t="shared" si="0"/>
        <v>0</v>
      </c>
      <c r="I12" s="12"/>
      <c r="J12" s="14">
        <f t="shared" si="1"/>
        <v>0</v>
      </c>
      <c r="L12" s="34">
        <f t="shared" si="2"/>
        <v>0</v>
      </c>
    </row>
    <row r="13" spans="1:12" ht="15.75" x14ac:dyDescent="0.25">
      <c r="B13" s="9">
        <v>2250</v>
      </c>
      <c r="C13" s="10" t="s">
        <v>19</v>
      </c>
      <c r="D13" s="11"/>
      <c r="E13" s="36"/>
      <c r="F13" s="36"/>
      <c r="G13" s="36"/>
      <c r="H13" s="13">
        <f t="shared" si="0"/>
        <v>0</v>
      </c>
      <c r="I13" s="12"/>
      <c r="J13" s="14">
        <f t="shared" si="1"/>
        <v>0</v>
      </c>
      <c r="L13" s="34">
        <f t="shared" si="2"/>
        <v>0</v>
      </c>
    </row>
    <row r="14" spans="1:12" ht="15.75" x14ac:dyDescent="0.25">
      <c r="B14" s="9">
        <v>1800</v>
      </c>
      <c r="C14" s="10" t="s">
        <v>20</v>
      </c>
      <c r="D14" s="11"/>
      <c r="E14" s="36"/>
      <c r="F14" s="36"/>
      <c r="G14" s="36"/>
      <c r="H14" s="13">
        <f t="shared" si="0"/>
        <v>0</v>
      </c>
      <c r="I14" s="12"/>
      <c r="J14" s="14">
        <f t="shared" si="1"/>
        <v>0</v>
      </c>
      <c r="L14" s="34">
        <f t="shared" si="2"/>
        <v>0</v>
      </c>
    </row>
    <row r="15" spans="1:12" ht="15.75" x14ac:dyDescent="0.25">
      <c r="B15" s="9">
        <v>1800</v>
      </c>
      <c r="C15" s="10" t="s">
        <v>21</v>
      </c>
      <c r="D15" s="11"/>
      <c r="E15" s="36"/>
      <c r="F15" s="36"/>
      <c r="G15" s="36"/>
      <c r="H15" s="13">
        <f t="shared" si="0"/>
        <v>0</v>
      </c>
      <c r="I15" s="12"/>
      <c r="J15" s="14">
        <f t="shared" si="1"/>
        <v>0</v>
      </c>
      <c r="L15" s="34">
        <f t="shared" si="2"/>
        <v>0</v>
      </c>
    </row>
    <row r="16" spans="1:12" ht="15.75" x14ac:dyDescent="0.25">
      <c r="A16">
        <v>500390</v>
      </c>
      <c r="B16" s="9">
        <v>1.3</v>
      </c>
      <c r="C16" s="10" t="s">
        <v>22</v>
      </c>
      <c r="D16" s="11"/>
      <c r="E16" s="36"/>
      <c r="F16" s="36"/>
      <c r="G16" s="36"/>
      <c r="H16" s="13">
        <f t="shared" si="0"/>
        <v>0</v>
      </c>
      <c r="I16" s="12"/>
      <c r="J16" s="14">
        <f t="shared" si="1"/>
        <v>0</v>
      </c>
      <c r="L16" s="34">
        <f t="shared" si="2"/>
        <v>0</v>
      </c>
    </row>
    <row r="17" spans="1:12" ht="15.75" x14ac:dyDescent="0.25">
      <c r="B17" s="9">
        <v>1.3</v>
      </c>
      <c r="C17" s="10" t="s">
        <v>23</v>
      </c>
      <c r="D17" s="11"/>
      <c r="E17" s="36"/>
      <c r="F17" s="36"/>
      <c r="G17" s="36"/>
      <c r="H17" s="13">
        <f t="shared" si="0"/>
        <v>0</v>
      </c>
      <c r="I17" s="12"/>
      <c r="J17" s="14">
        <f t="shared" si="1"/>
        <v>0</v>
      </c>
      <c r="L17" s="34">
        <f t="shared" si="2"/>
        <v>0</v>
      </c>
    </row>
    <row r="18" spans="1:12" ht="15.75" x14ac:dyDescent="0.25">
      <c r="B18" s="9">
        <v>1.3</v>
      </c>
      <c r="C18" s="10" t="s">
        <v>24</v>
      </c>
      <c r="D18" s="11"/>
      <c r="E18" s="36"/>
      <c r="F18" s="36"/>
      <c r="G18" s="36"/>
      <c r="H18" s="13">
        <f t="shared" si="0"/>
        <v>0</v>
      </c>
      <c r="I18" s="12"/>
      <c r="J18" s="14">
        <f t="shared" si="1"/>
        <v>0</v>
      </c>
      <c r="L18" s="34">
        <f t="shared" si="2"/>
        <v>0</v>
      </c>
    </row>
    <row r="19" spans="1:12" ht="15.75" x14ac:dyDescent="0.25">
      <c r="A19">
        <v>511927</v>
      </c>
      <c r="B19" s="9">
        <v>1.3</v>
      </c>
      <c r="C19" s="10" t="s">
        <v>25</v>
      </c>
      <c r="D19" s="11"/>
      <c r="E19" s="36"/>
      <c r="F19" s="36"/>
      <c r="G19" s="36"/>
      <c r="H19" s="13">
        <f t="shared" si="0"/>
        <v>0</v>
      </c>
      <c r="I19" s="12"/>
      <c r="J19" s="14">
        <f t="shared" si="1"/>
        <v>0</v>
      </c>
      <c r="L19" s="34">
        <f t="shared" si="2"/>
        <v>0</v>
      </c>
    </row>
    <row r="20" spans="1:12" ht="15.75" x14ac:dyDescent="0.25">
      <c r="A20">
        <v>509919</v>
      </c>
      <c r="B20" s="9">
        <v>1.3</v>
      </c>
      <c r="C20" s="10" t="s">
        <v>26</v>
      </c>
      <c r="D20" s="11"/>
      <c r="E20" s="36"/>
      <c r="F20" s="36"/>
      <c r="G20" s="36"/>
      <c r="H20" s="13">
        <f t="shared" si="0"/>
        <v>0</v>
      </c>
      <c r="I20" s="12"/>
      <c r="J20" s="14">
        <f t="shared" si="1"/>
        <v>0</v>
      </c>
      <c r="L20" s="34">
        <f t="shared" si="2"/>
        <v>0</v>
      </c>
    </row>
    <row r="21" spans="1:12" ht="15.75" x14ac:dyDescent="0.25">
      <c r="B21" s="9">
        <v>1300</v>
      </c>
      <c r="C21" s="10" t="s">
        <v>27</v>
      </c>
      <c r="D21" s="11"/>
      <c r="E21" s="36"/>
      <c r="F21" s="36"/>
      <c r="G21" s="36"/>
      <c r="H21" s="13">
        <f t="shared" si="0"/>
        <v>0</v>
      </c>
      <c r="I21" s="12"/>
      <c r="J21" s="14">
        <f t="shared" si="1"/>
        <v>0</v>
      </c>
      <c r="L21" s="34">
        <f t="shared" si="2"/>
        <v>0</v>
      </c>
    </row>
    <row r="22" spans="1:12" ht="15.75" x14ac:dyDescent="0.25">
      <c r="A22">
        <v>500094</v>
      </c>
      <c r="B22" s="9">
        <v>1000</v>
      </c>
      <c r="C22" s="10" t="s">
        <v>11</v>
      </c>
      <c r="D22" s="11"/>
      <c r="E22" s="36"/>
      <c r="F22" s="36"/>
      <c r="G22" s="36"/>
      <c r="H22" s="13">
        <f t="shared" si="0"/>
        <v>0</v>
      </c>
      <c r="I22" s="12"/>
      <c r="J22" s="14">
        <f t="shared" si="1"/>
        <v>0</v>
      </c>
      <c r="L22" s="34">
        <f t="shared" si="2"/>
        <v>0</v>
      </c>
    </row>
    <row r="23" spans="1:12" ht="15.75" x14ac:dyDescent="0.25">
      <c r="A23">
        <v>599038</v>
      </c>
      <c r="B23" s="9">
        <v>625</v>
      </c>
      <c r="C23" s="10" t="s">
        <v>28</v>
      </c>
      <c r="D23" s="11"/>
      <c r="E23" s="36"/>
      <c r="F23" s="36"/>
      <c r="G23" s="36"/>
      <c r="H23" s="13">
        <f t="shared" si="0"/>
        <v>0</v>
      </c>
      <c r="I23" s="12"/>
      <c r="J23" s="14">
        <f t="shared" si="1"/>
        <v>0</v>
      </c>
      <c r="L23" s="34">
        <f t="shared" si="2"/>
        <v>0</v>
      </c>
    </row>
    <row r="24" spans="1:12" ht="15.75" x14ac:dyDescent="0.25">
      <c r="A24">
        <v>500303</v>
      </c>
      <c r="B24" s="9">
        <v>625</v>
      </c>
      <c r="C24" s="10" t="s">
        <v>29</v>
      </c>
      <c r="D24" s="11"/>
      <c r="E24" s="36"/>
      <c r="F24" s="36"/>
      <c r="G24" s="36"/>
      <c r="H24" s="13">
        <f t="shared" si="0"/>
        <v>0</v>
      </c>
      <c r="I24" s="12"/>
      <c r="J24" s="14">
        <f t="shared" si="1"/>
        <v>0</v>
      </c>
      <c r="L24" s="34">
        <f t="shared" si="2"/>
        <v>0</v>
      </c>
    </row>
    <row r="25" spans="1:12" ht="15.75" x14ac:dyDescent="0.25">
      <c r="A25">
        <v>599037</v>
      </c>
      <c r="B25" s="9">
        <v>625</v>
      </c>
      <c r="C25" s="10" t="s">
        <v>30</v>
      </c>
      <c r="D25" s="11"/>
      <c r="E25" s="36"/>
      <c r="F25" s="36"/>
      <c r="G25" s="36"/>
      <c r="H25" s="13">
        <f t="shared" si="0"/>
        <v>0</v>
      </c>
      <c r="I25" s="12"/>
      <c r="J25" s="14">
        <f t="shared" si="1"/>
        <v>0</v>
      </c>
      <c r="L25" s="34">
        <f t="shared" si="2"/>
        <v>0</v>
      </c>
    </row>
    <row r="26" spans="1:12" ht="15.75" x14ac:dyDescent="0.25">
      <c r="A26">
        <v>599036</v>
      </c>
      <c r="B26" s="9">
        <v>625</v>
      </c>
      <c r="C26" s="10" t="s">
        <v>31</v>
      </c>
      <c r="D26" s="11"/>
      <c r="E26" s="36"/>
      <c r="F26" s="36"/>
      <c r="G26" s="36"/>
      <c r="H26" s="13">
        <f t="shared" si="0"/>
        <v>0</v>
      </c>
      <c r="I26" s="12"/>
      <c r="J26" s="14">
        <f t="shared" si="1"/>
        <v>0</v>
      </c>
      <c r="L26" s="34">
        <f t="shared" si="2"/>
        <v>0</v>
      </c>
    </row>
    <row r="27" spans="1:12" ht="15.75" x14ac:dyDescent="0.25">
      <c r="A27">
        <v>599035</v>
      </c>
      <c r="B27" s="9">
        <v>625</v>
      </c>
      <c r="C27" s="10" t="s">
        <v>32</v>
      </c>
      <c r="D27" s="11"/>
      <c r="E27" s="36"/>
      <c r="F27" s="36"/>
      <c r="G27" s="36"/>
      <c r="H27" s="13">
        <f t="shared" si="0"/>
        <v>0</v>
      </c>
      <c r="I27" s="12"/>
      <c r="J27" s="14">
        <f t="shared" si="1"/>
        <v>0</v>
      </c>
      <c r="L27" s="34">
        <f t="shared" si="2"/>
        <v>0</v>
      </c>
    </row>
    <row r="28" spans="1:12" ht="15.75" x14ac:dyDescent="0.25">
      <c r="B28" s="9">
        <v>625</v>
      </c>
      <c r="C28" s="10" t="s">
        <v>33</v>
      </c>
      <c r="D28" s="11"/>
      <c r="E28" s="36"/>
      <c r="F28" s="36"/>
      <c r="G28" s="36"/>
      <c r="H28" s="13">
        <f t="shared" si="0"/>
        <v>0</v>
      </c>
      <c r="I28" s="12"/>
      <c r="J28" s="14">
        <f t="shared" si="1"/>
        <v>0</v>
      </c>
      <c r="L28" s="34">
        <f t="shared" si="2"/>
        <v>0</v>
      </c>
    </row>
    <row r="29" spans="1:12" ht="15.75" x14ac:dyDescent="0.25">
      <c r="B29" s="9">
        <v>625</v>
      </c>
      <c r="C29" s="10" t="s">
        <v>27</v>
      </c>
      <c r="D29" s="11"/>
      <c r="E29" s="36"/>
      <c r="F29" s="36"/>
      <c r="G29" s="36"/>
      <c r="H29" s="13">
        <f t="shared" si="0"/>
        <v>0</v>
      </c>
      <c r="I29" s="12"/>
      <c r="J29" s="14">
        <f t="shared" si="1"/>
        <v>0</v>
      </c>
      <c r="L29" s="34">
        <f t="shared" si="2"/>
        <v>0</v>
      </c>
    </row>
    <row r="30" spans="1:12" ht="15.75" x14ac:dyDescent="0.25">
      <c r="B30" s="15">
        <v>400</v>
      </c>
      <c r="C30" s="16" t="s">
        <v>11</v>
      </c>
      <c r="D30" s="11"/>
      <c r="E30" s="36"/>
      <c r="F30" s="36"/>
      <c r="G30" s="36"/>
      <c r="H30" s="13">
        <f t="shared" si="0"/>
        <v>0</v>
      </c>
      <c r="I30" s="12"/>
      <c r="J30" s="14">
        <f t="shared" si="1"/>
        <v>0</v>
      </c>
      <c r="L30" s="34">
        <f t="shared" si="2"/>
        <v>0</v>
      </c>
    </row>
    <row r="31" spans="1:12" ht="15.75" x14ac:dyDescent="0.25">
      <c r="B31" s="9">
        <v>400</v>
      </c>
      <c r="C31" s="10" t="s">
        <v>14</v>
      </c>
      <c r="D31" s="11"/>
      <c r="E31" s="36"/>
      <c r="F31" s="36"/>
      <c r="G31" s="36"/>
      <c r="H31" s="13">
        <f t="shared" si="0"/>
        <v>0</v>
      </c>
      <c r="I31" s="12"/>
      <c r="J31" s="14">
        <f t="shared" si="1"/>
        <v>0</v>
      </c>
      <c r="L31" s="34">
        <f t="shared" si="2"/>
        <v>0</v>
      </c>
    </row>
    <row r="32" spans="1:12" ht="15.75" x14ac:dyDescent="0.25">
      <c r="B32" s="9">
        <v>400</v>
      </c>
      <c r="C32" s="10" t="s">
        <v>16</v>
      </c>
      <c r="D32" s="11"/>
      <c r="E32" s="36"/>
      <c r="F32" s="36"/>
      <c r="G32" s="36"/>
      <c r="H32" s="13">
        <f t="shared" si="0"/>
        <v>0</v>
      </c>
      <c r="I32" s="12"/>
      <c r="J32" s="14">
        <f t="shared" si="1"/>
        <v>0</v>
      </c>
      <c r="L32" s="34">
        <f t="shared" si="2"/>
        <v>0</v>
      </c>
    </row>
    <row r="33" spans="1:12" ht="15.75" x14ac:dyDescent="0.25">
      <c r="A33">
        <v>522495</v>
      </c>
      <c r="B33" s="9">
        <v>360</v>
      </c>
      <c r="C33" s="10" t="s">
        <v>34</v>
      </c>
      <c r="D33" s="11"/>
      <c r="E33" s="36"/>
      <c r="F33" s="36"/>
      <c r="G33" s="36"/>
      <c r="H33" s="13">
        <f t="shared" si="0"/>
        <v>0</v>
      </c>
      <c r="I33" s="12"/>
      <c r="J33" s="14">
        <f t="shared" si="1"/>
        <v>0</v>
      </c>
      <c r="L33" s="34">
        <f t="shared" si="2"/>
        <v>0</v>
      </c>
    </row>
    <row r="34" spans="1:12" ht="15.75" x14ac:dyDescent="0.25">
      <c r="A34">
        <v>501504</v>
      </c>
      <c r="B34" s="9">
        <v>360</v>
      </c>
      <c r="C34" s="10" t="s">
        <v>35</v>
      </c>
      <c r="D34" s="11"/>
      <c r="E34" s="36"/>
      <c r="F34" s="36"/>
      <c r="G34" s="36"/>
      <c r="H34" s="13">
        <f t="shared" si="0"/>
        <v>0</v>
      </c>
      <c r="I34" s="12"/>
      <c r="J34" s="14">
        <f t="shared" si="1"/>
        <v>0</v>
      </c>
      <c r="L34" s="34">
        <f t="shared" si="2"/>
        <v>0</v>
      </c>
    </row>
    <row r="35" spans="1:12" ht="15.75" x14ac:dyDescent="0.25">
      <c r="A35">
        <v>500713</v>
      </c>
      <c r="B35" s="9">
        <v>360</v>
      </c>
      <c r="C35" s="10" t="s">
        <v>36</v>
      </c>
      <c r="D35" s="11"/>
      <c r="E35" s="36"/>
      <c r="F35" s="36"/>
      <c r="G35" s="36"/>
      <c r="H35" s="13">
        <f t="shared" si="0"/>
        <v>0</v>
      </c>
      <c r="I35" s="12"/>
      <c r="J35" s="14">
        <f t="shared" si="1"/>
        <v>0</v>
      </c>
      <c r="L35" s="34">
        <f t="shared" si="2"/>
        <v>0</v>
      </c>
    </row>
    <row r="36" spans="1:12" ht="15.75" x14ac:dyDescent="0.25">
      <c r="A36">
        <v>523271</v>
      </c>
      <c r="B36" s="9">
        <v>400</v>
      </c>
      <c r="C36" s="17" t="s">
        <v>20</v>
      </c>
      <c r="D36" s="11"/>
      <c r="E36" s="36"/>
      <c r="F36" s="36"/>
      <c r="G36" s="36"/>
      <c r="H36" s="13">
        <f t="shared" si="0"/>
        <v>0</v>
      </c>
      <c r="I36" s="12"/>
      <c r="J36" s="14">
        <f t="shared" si="1"/>
        <v>0</v>
      </c>
      <c r="L36" s="34">
        <f t="shared" si="2"/>
        <v>0</v>
      </c>
    </row>
    <row r="37" spans="1:12" ht="15.75" x14ac:dyDescent="0.25">
      <c r="A37">
        <v>521721</v>
      </c>
      <c r="B37" s="9">
        <v>400</v>
      </c>
      <c r="C37" s="17" t="s">
        <v>13</v>
      </c>
      <c r="D37" s="11"/>
      <c r="E37" s="36"/>
      <c r="F37" s="36"/>
      <c r="G37" s="36"/>
      <c r="H37" s="13">
        <f t="shared" si="0"/>
        <v>0</v>
      </c>
      <c r="I37" s="12"/>
      <c r="J37" s="14">
        <f t="shared" si="1"/>
        <v>0</v>
      </c>
      <c r="L37" s="34">
        <f t="shared" si="2"/>
        <v>0</v>
      </c>
    </row>
    <row r="38" spans="1:12" ht="15.75" x14ac:dyDescent="0.25">
      <c r="B38" s="9">
        <v>360</v>
      </c>
      <c r="C38" s="10" t="s">
        <v>27</v>
      </c>
      <c r="D38" s="11"/>
      <c r="E38" s="36"/>
      <c r="F38" s="36"/>
      <c r="G38" s="36"/>
      <c r="H38" s="13">
        <f t="shared" si="0"/>
        <v>0</v>
      </c>
      <c r="I38" s="12"/>
      <c r="J38" s="14">
        <f t="shared" si="1"/>
        <v>0</v>
      </c>
      <c r="L38" s="34">
        <f t="shared" si="2"/>
        <v>0</v>
      </c>
    </row>
    <row r="39" spans="1:12" ht="15.75" x14ac:dyDescent="0.25">
      <c r="B39" s="9">
        <v>360</v>
      </c>
      <c r="C39" s="10" t="s">
        <v>37</v>
      </c>
      <c r="D39" s="11"/>
      <c r="E39" s="36"/>
      <c r="F39" s="36"/>
      <c r="G39" s="36"/>
      <c r="H39" s="13">
        <f t="shared" si="0"/>
        <v>0</v>
      </c>
      <c r="I39" s="12"/>
      <c r="J39" s="14">
        <f t="shared" si="1"/>
        <v>0</v>
      </c>
      <c r="L39" s="34">
        <f t="shared" si="2"/>
        <v>0</v>
      </c>
    </row>
    <row r="40" spans="1:12" ht="15.75" x14ac:dyDescent="0.25">
      <c r="B40" s="9">
        <v>360</v>
      </c>
      <c r="C40" s="10" t="s">
        <v>38</v>
      </c>
      <c r="D40" s="11"/>
      <c r="E40" s="36"/>
      <c r="F40" s="36"/>
      <c r="G40" s="36"/>
      <c r="H40" s="13">
        <f t="shared" si="0"/>
        <v>0</v>
      </c>
      <c r="I40" s="12"/>
      <c r="J40" s="14">
        <f t="shared" si="1"/>
        <v>0</v>
      </c>
      <c r="L40" s="34">
        <f t="shared" si="2"/>
        <v>0</v>
      </c>
    </row>
    <row r="41" spans="1:12" ht="15.75" x14ac:dyDescent="0.25">
      <c r="B41" s="9">
        <v>375</v>
      </c>
      <c r="C41" s="10" t="s">
        <v>39</v>
      </c>
      <c r="D41" s="11"/>
      <c r="E41" s="36"/>
      <c r="F41" s="36"/>
      <c r="G41" s="36"/>
      <c r="H41" s="13">
        <f t="shared" si="0"/>
        <v>0</v>
      </c>
      <c r="I41" s="12"/>
      <c r="J41" s="14">
        <f t="shared" si="1"/>
        <v>0</v>
      </c>
      <c r="L41" s="34">
        <f t="shared" si="2"/>
        <v>0</v>
      </c>
    </row>
    <row r="42" spans="1:12" ht="15.75" x14ac:dyDescent="0.25">
      <c r="A42">
        <v>598908</v>
      </c>
      <c r="B42" s="9">
        <v>355</v>
      </c>
      <c r="C42" s="10" t="s">
        <v>40</v>
      </c>
      <c r="D42" s="11"/>
      <c r="E42" s="36"/>
      <c r="F42" s="36"/>
      <c r="G42" s="36"/>
      <c r="H42" s="13">
        <f t="shared" si="0"/>
        <v>0</v>
      </c>
      <c r="I42" s="12"/>
      <c r="J42" s="14">
        <f t="shared" si="1"/>
        <v>0</v>
      </c>
      <c r="L42" s="34">
        <f t="shared" si="2"/>
        <v>0</v>
      </c>
    </row>
    <row r="43" spans="1:12" ht="15.75" x14ac:dyDescent="0.25">
      <c r="A43">
        <v>599149</v>
      </c>
      <c r="B43" s="9">
        <v>300</v>
      </c>
      <c r="C43" s="17" t="s">
        <v>41</v>
      </c>
      <c r="D43" s="11"/>
      <c r="E43" s="36"/>
      <c r="F43" s="36"/>
      <c r="G43" s="36"/>
      <c r="H43" s="13">
        <f t="shared" si="0"/>
        <v>0</v>
      </c>
      <c r="I43" s="12"/>
      <c r="J43" s="14">
        <f t="shared" si="1"/>
        <v>0</v>
      </c>
      <c r="L43" s="34">
        <f t="shared" si="2"/>
        <v>0</v>
      </c>
    </row>
    <row r="44" spans="1:12" ht="15.75" x14ac:dyDescent="0.25">
      <c r="B44" s="9">
        <v>355</v>
      </c>
      <c r="C44" s="10" t="s">
        <v>42</v>
      </c>
      <c r="D44" s="11"/>
      <c r="E44" s="36"/>
      <c r="F44" s="36"/>
      <c r="G44" s="36"/>
      <c r="H44" s="13">
        <f t="shared" si="0"/>
        <v>0</v>
      </c>
      <c r="I44" s="12"/>
      <c r="J44" s="14">
        <f t="shared" si="1"/>
        <v>0</v>
      </c>
      <c r="L44" s="34">
        <f t="shared" si="2"/>
        <v>0</v>
      </c>
    </row>
    <row r="45" spans="1:12" ht="15.75" x14ac:dyDescent="0.25">
      <c r="B45" s="9">
        <v>355</v>
      </c>
      <c r="C45" s="10" t="s">
        <v>43</v>
      </c>
      <c r="D45" s="11"/>
      <c r="E45" s="36"/>
      <c r="F45" s="36"/>
      <c r="G45" s="36"/>
      <c r="H45" s="13">
        <f t="shared" si="0"/>
        <v>0</v>
      </c>
      <c r="I45" s="12"/>
      <c r="J45" s="14">
        <f t="shared" si="1"/>
        <v>0</v>
      </c>
      <c r="L45" s="34">
        <f t="shared" si="2"/>
        <v>0</v>
      </c>
    </row>
    <row r="46" spans="1:12" ht="15.75" x14ac:dyDescent="0.25">
      <c r="B46" s="9">
        <v>355</v>
      </c>
      <c r="C46" s="10" t="s">
        <v>44</v>
      </c>
      <c r="D46" s="11"/>
      <c r="E46" s="36"/>
      <c r="F46" s="36"/>
      <c r="G46" s="36"/>
      <c r="H46" s="13">
        <f t="shared" si="0"/>
        <v>0</v>
      </c>
      <c r="I46" s="12"/>
      <c r="J46" s="14">
        <f t="shared" si="1"/>
        <v>0</v>
      </c>
      <c r="L46" s="34">
        <f t="shared" si="2"/>
        <v>0</v>
      </c>
    </row>
    <row r="47" spans="1:12" ht="15.75" x14ac:dyDescent="0.25">
      <c r="B47" s="9">
        <v>355</v>
      </c>
      <c r="C47" s="10" t="s">
        <v>45</v>
      </c>
      <c r="D47" s="11"/>
      <c r="E47" s="36"/>
      <c r="F47" s="36"/>
      <c r="G47" s="36"/>
      <c r="H47" s="13">
        <f t="shared" si="0"/>
        <v>0</v>
      </c>
      <c r="I47" s="12"/>
      <c r="J47" s="14">
        <f t="shared" si="1"/>
        <v>0</v>
      </c>
      <c r="L47" s="34">
        <f t="shared" si="2"/>
        <v>0</v>
      </c>
    </row>
    <row r="48" spans="1:12" ht="15.75" x14ac:dyDescent="0.25">
      <c r="B48" s="9">
        <v>355</v>
      </c>
      <c r="C48" s="10" t="s">
        <v>46</v>
      </c>
      <c r="D48" s="11"/>
      <c r="E48" s="36"/>
      <c r="F48" s="36"/>
      <c r="G48" s="36"/>
      <c r="H48" s="13">
        <f t="shared" si="0"/>
        <v>0</v>
      </c>
      <c r="I48" s="12"/>
      <c r="J48" s="14">
        <f t="shared" si="1"/>
        <v>0</v>
      </c>
      <c r="L48" s="34">
        <f t="shared" si="2"/>
        <v>0</v>
      </c>
    </row>
    <row r="49" spans="1:12" ht="15.75" x14ac:dyDescent="0.25">
      <c r="B49" s="9">
        <v>625</v>
      </c>
      <c r="C49" s="10" t="s">
        <v>41</v>
      </c>
      <c r="D49" s="11"/>
      <c r="E49" s="36"/>
      <c r="F49" s="36"/>
      <c r="G49" s="36"/>
      <c r="H49" s="13">
        <f t="shared" si="0"/>
        <v>0</v>
      </c>
      <c r="I49" s="12"/>
      <c r="J49" s="14">
        <f t="shared" si="1"/>
        <v>0</v>
      </c>
      <c r="L49" s="34">
        <f t="shared" si="2"/>
        <v>0</v>
      </c>
    </row>
    <row r="50" spans="1:12" ht="15.75" x14ac:dyDescent="0.25">
      <c r="B50" s="9">
        <v>625</v>
      </c>
      <c r="C50" s="10" t="s">
        <v>47</v>
      </c>
      <c r="D50" s="11"/>
      <c r="E50" s="36"/>
      <c r="F50" s="36"/>
      <c r="G50" s="36"/>
      <c r="H50" s="13">
        <f t="shared" si="0"/>
        <v>0</v>
      </c>
      <c r="I50" s="12"/>
      <c r="J50" s="14">
        <f t="shared" si="1"/>
        <v>0</v>
      </c>
      <c r="L50" s="34">
        <f t="shared" si="2"/>
        <v>0</v>
      </c>
    </row>
    <row r="51" spans="1:12" ht="15.75" x14ac:dyDescent="0.25">
      <c r="A51">
        <v>517209</v>
      </c>
      <c r="B51" s="18">
        <v>360</v>
      </c>
      <c r="C51" s="10" t="s">
        <v>47</v>
      </c>
      <c r="D51" s="11"/>
      <c r="E51" s="36"/>
      <c r="F51" s="36"/>
      <c r="G51" s="36"/>
      <c r="H51" s="13">
        <f t="shared" si="0"/>
        <v>0</v>
      </c>
      <c r="I51" s="12"/>
      <c r="J51" s="14">
        <f t="shared" si="1"/>
        <v>0</v>
      </c>
      <c r="L51" s="34">
        <f t="shared" si="2"/>
        <v>0</v>
      </c>
    </row>
    <row r="52" spans="1:12" ht="15.75" x14ac:dyDescent="0.25">
      <c r="B52" s="18">
        <v>625</v>
      </c>
      <c r="C52" s="10" t="s">
        <v>48</v>
      </c>
      <c r="D52" s="11"/>
      <c r="E52" s="36"/>
      <c r="F52" s="36"/>
      <c r="G52" s="36"/>
      <c r="H52" s="13">
        <f t="shared" si="0"/>
        <v>0</v>
      </c>
      <c r="I52" s="12"/>
      <c r="J52" s="14">
        <f t="shared" si="1"/>
        <v>0</v>
      </c>
      <c r="L52" s="34">
        <f t="shared" si="2"/>
        <v>0</v>
      </c>
    </row>
    <row r="53" spans="1:12" ht="15.75" x14ac:dyDescent="0.25">
      <c r="A53">
        <v>522919</v>
      </c>
      <c r="B53" s="19">
        <v>625</v>
      </c>
      <c r="C53" s="17" t="s">
        <v>49</v>
      </c>
      <c r="D53" s="11"/>
      <c r="E53" s="36"/>
      <c r="F53" s="36"/>
      <c r="G53" s="36"/>
      <c r="H53" s="13">
        <f t="shared" si="0"/>
        <v>0</v>
      </c>
      <c r="I53" s="12"/>
      <c r="J53" s="14">
        <f>H53-I53</f>
        <v>0</v>
      </c>
      <c r="L53" s="34">
        <f t="shared" si="2"/>
        <v>0</v>
      </c>
    </row>
    <row r="54" spans="1:12" ht="15.75" x14ac:dyDescent="0.25">
      <c r="A54">
        <v>522918</v>
      </c>
      <c r="B54" s="18">
        <v>375</v>
      </c>
      <c r="C54" s="10" t="s">
        <v>48</v>
      </c>
      <c r="D54" s="11"/>
      <c r="E54" s="36"/>
      <c r="F54" s="36"/>
      <c r="G54" s="36"/>
      <c r="H54" s="13">
        <f t="shared" si="0"/>
        <v>0</v>
      </c>
      <c r="I54" s="12"/>
      <c r="J54" s="14">
        <f t="shared" si="1"/>
        <v>0</v>
      </c>
      <c r="L54" s="34">
        <f t="shared" si="2"/>
        <v>0</v>
      </c>
    </row>
    <row r="55" spans="1:12" ht="15.75" x14ac:dyDescent="0.25">
      <c r="B55" s="20">
        <v>375</v>
      </c>
      <c r="C55" s="21" t="s">
        <v>50</v>
      </c>
      <c r="D55" s="11"/>
      <c r="E55" s="36"/>
      <c r="F55" s="36"/>
      <c r="G55" s="36"/>
      <c r="H55" s="13">
        <f t="shared" si="0"/>
        <v>0</v>
      </c>
      <c r="I55" s="12"/>
      <c r="J55" s="14">
        <f t="shared" si="1"/>
        <v>0</v>
      </c>
      <c r="L55" s="34">
        <f t="shared" si="2"/>
        <v>0</v>
      </c>
    </row>
    <row r="56" spans="1:12" ht="15.75" x14ac:dyDescent="0.25">
      <c r="A56">
        <v>522920</v>
      </c>
      <c r="B56" s="22">
        <v>1.3</v>
      </c>
      <c r="C56" s="23" t="s">
        <v>51</v>
      </c>
      <c r="D56" s="11"/>
      <c r="E56" s="36"/>
      <c r="F56" s="36"/>
      <c r="G56" s="36"/>
      <c r="H56" s="13">
        <f t="shared" si="0"/>
        <v>0</v>
      </c>
      <c r="I56" s="12"/>
      <c r="J56" s="14">
        <f>H56-I56</f>
        <v>0</v>
      </c>
      <c r="L56" s="34">
        <f t="shared" si="2"/>
        <v>0</v>
      </c>
    </row>
    <row r="57" spans="1:12" ht="15.75" x14ac:dyDescent="0.25">
      <c r="A57">
        <v>523533</v>
      </c>
      <c r="B57" s="22">
        <v>1000</v>
      </c>
      <c r="C57" s="23" t="s">
        <v>48</v>
      </c>
      <c r="D57" s="11"/>
      <c r="E57" s="36"/>
      <c r="F57" s="36"/>
      <c r="G57" s="36"/>
      <c r="H57" s="13">
        <f t="shared" si="0"/>
        <v>0</v>
      </c>
      <c r="I57" s="12"/>
      <c r="J57" s="14">
        <f>H57-I57</f>
        <v>0</v>
      </c>
      <c r="L57" s="34">
        <f t="shared" si="2"/>
        <v>0</v>
      </c>
    </row>
    <row r="58" spans="1:12" ht="15.75" x14ac:dyDescent="0.25">
      <c r="B58" s="9">
        <v>3300</v>
      </c>
      <c r="C58" s="10" t="s">
        <v>48</v>
      </c>
      <c r="D58" s="11"/>
      <c r="E58" s="36"/>
      <c r="F58" s="36"/>
      <c r="G58" s="36"/>
      <c r="H58" s="13">
        <f t="shared" si="0"/>
        <v>0</v>
      </c>
      <c r="I58" s="12"/>
      <c r="J58" s="14">
        <f t="shared" ref="J58:J121" si="3">H58-I58</f>
        <v>0</v>
      </c>
      <c r="L58" s="34">
        <f t="shared" si="2"/>
        <v>0</v>
      </c>
    </row>
    <row r="59" spans="1:12" ht="15.75" x14ac:dyDescent="0.25">
      <c r="A59">
        <v>598820</v>
      </c>
      <c r="B59" s="18">
        <v>145</v>
      </c>
      <c r="C59" s="10" t="s">
        <v>52</v>
      </c>
      <c r="D59" s="11"/>
      <c r="E59" s="36"/>
      <c r="F59" s="36"/>
      <c r="G59" s="36"/>
      <c r="H59" s="13">
        <f t="shared" si="0"/>
        <v>0</v>
      </c>
      <c r="I59" s="12"/>
      <c r="J59" s="14">
        <f t="shared" si="3"/>
        <v>0</v>
      </c>
      <c r="L59" s="34">
        <f t="shared" si="2"/>
        <v>0</v>
      </c>
    </row>
    <row r="60" spans="1:12" ht="15.75" x14ac:dyDescent="0.25">
      <c r="A60">
        <v>598821</v>
      </c>
      <c r="B60" s="9">
        <v>145</v>
      </c>
      <c r="C60" s="10" t="s">
        <v>53</v>
      </c>
      <c r="D60" s="11"/>
      <c r="E60" s="36"/>
      <c r="F60" s="36"/>
      <c r="G60" s="36"/>
      <c r="H60" s="13">
        <f t="shared" si="0"/>
        <v>0</v>
      </c>
      <c r="I60" s="12"/>
      <c r="J60" s="14">
        <f t="shared" si="3"/>
        <v>0</v>
      </c>
      <c r="L60" s="34">
        <f t="shared" si="2"/>
        <v>0</v>
      </c>
    </row>
    <row r="61" spans="1:12" ht="15.75" x14ac:dyDescent="0.25">
      <c r="B61" s="9">
        <v>145</v>
      </c>
      <c r="C61" s="10" t="s">
        <v>54</v>
      </c>
      <c r="D61" s="11"/>
      <c r="E61" s="36"/>
      <c r="F61" s="36"/>
      <c r="G61" s="36"/>
      <c r="H61" s="13">
        <f t="shared" si="0"/>
        <v>0</v>
      </c>
      <c r="I61" s="12"/>
      <c r="J61" s="14">
        <f t="shared" si="3"/>
        <v>0</v>
      </c>
      <c r="L61" s="34">
        <f t="shared" si="2"/>
        <v>0</v>
      </c>
    </row>
    <row r="62" spans="1:12" ht="15.75" x14ac:dyDescent="0.25">
      <c r="B62" s="9">
        <v>145</v>
      </c>
      <c r="C62" s="10" t="s">
        <v>55</v>
      </c>
      <c r="D62" s="11"/>
      <c r="E62" s="36"/>
      <c r="F62" s="36"/>
      <c r="G62" s="36"/>
      <c r="H62" s="13">
        <f t="shared" si="0"/>
        <v>0</v>
      </c>
      <c r="I62" s="12"/>
      <c r="J62" s="14">
        <f t="shared" si="3"/>
        <v>0</v>
      </c>
      <c r="L62" s="34">
        <f t="shared" si="2"/>
        <v>0</v>
      </c>
    </row>
    <row r="63" spans="1:12" ht="15.75" x14ac:dyDescent="0.25">
      <c r="B63" s="9">
        <v>145</v>
      </c>
      <c r="C63" s="10" t="s">
        <v>56</v>
      </c>
      <c r="D63" s="11"/>
      <c r="E63" s="36"/>
      <c r="F63" s="36"/>
      <c r="G63" s="36"/>
      <c r="H63" s="13">
        <f t="shared" si="0"/>
        <v>0</v>
      </c>
      <c r="I63" s="12"/>
      <c r="J63" s="14">
        <f t="shared" si="3"/>
        <v>0</v>
      </c>
      <c r="L63" s="34">
        <f t="shared" si="2"/>
        <v>0</v>
      </c>
    </row>
    <row r="64" spans="1:12" ht="15.75" x14ac:dyDescent="0.25">
      <c r="B64" s="9">
        <v>145</v>
      </c>
      <c r="C64" s="10" t="s">
        <v>57</v>
      </c>
      <c r="D64" s="11"/>
      <c r="E64" s="36"/>
      <c r="F64" s="36"/>
      <c r="G64" s="36"/>
      <c r="H64" s="13">
        <f t="shared" si="0"/>
        <v>0</v>
      </c>
      <c r="I64" s="12"/>
      <c r="J64" s="14">
        <f t="shared" si="3"/>
        <v>0</v>
      </c>
      <c r="L64" s="34">
        <f t="shared" si="2"/>
        <v>0</v>
      </c>
    </row>
    <row r="65" spans="1:12" ht="15.75" x14ac:dyDescent="0.25">
      <c r="B65" s="9">
        <v>145</v>
      </c>
      <c r="C65" s="10" t="s">
        <v>58</v>
      </c>
      <c r="D65" s="11"/>
      <c r="E65" s="36"/>
      <c r="F65" s="36"/>
      <c r="G65" s="36"/>
      <c r="H65" s="13">
        <f t="shared" si="0"/>
        <v>0</v>
      </c>
      <c r="I65" s="12"/>
      <c r="J65" s="14">
        <f t="shared" si="3"/>
        <v>0</v>
      </c>
      <c r="L65" s="34">
        <f t="shared" si="2"/>
        <v>0</v>
      </c>
    </row>
    <row r="66" spans="1:12" ht="15.75" x14ac:dyDescent="0.25">
      <c r="B66" s="9">
        <v>145</v>
      </c>
      <c r="C66" s="10" t="s">
        <v>59</v>
      </c>
      <c r="D66" s="11"/>
      <c r="E66" s="36"/>
      <c r="F66" s="36"/>
      <c r="G66" s="36"/>
      <c r="H66" s="13">
        <f t="shared" si="0"/>
        <v>0</v>
      </c>
      <c r="I66" s="12"/>
      <c r="J66" s="14">
        <f t="shared" si="3"/>
        <v>0</v>
      </c>
      <c r="L66" s="34">
        <f t="shared" si="2"/>
        <v>0</v>
      </c>
    </row>
    <row r="67" spans="1:12" ht="15.75" x14ac:dyDescent="0.25">
      <c r="B67" s="9"/>
      <c r="C67" s="10" t="s">
        <v>60</v>
      </c>
      <c r="D67" s="11"/>
      <c r="E67" s="36"/>
      <c r="F67" s="36"/>
      <c r="G67" s="36"/>
      <c r="H67" s="13">
        <f t="shared" ref="H67:H130" si="4">D67+E67+F67+G67</f>
        <v>0</v>
      </c>
      <c r="I67" s="12"/>
      <c r="J67" s="14">
        <f t="shared" si="3"/>
        <v>0</v>
      </c>
      <c r="L67" s="34">
        <f t="shared" ref="L67:L130" si="5">K67-H67</f>
        <v>0</v>
      </c>
    </row>
    <row r="68" spans="1:12" ht="15.75" x14ac:dyDescent="0.25">
      <c r="A68">
        <v>598822</v>
      </c>
      <c r="B68" s="9">
        <v>250</v>
      </c>
      <c r="C68" s="10" t="s">
        <v>61</v>
      </c>
      <c r="D68" s="11"/>
      <c r="E68" s="36"/>
      <c r="F68" s="36"/>
      <c r="G68" s="36"/>
      <c r="H68" s="13">
        <f t="shared" si="4"/>
        <v>0</v>
      </c>
      <c r="I68" s="12"/>
      <c r="J68" s="14">
        <f t="shared" si="3"/>
        <v>0</v>
      </c>
      <c r="L68" s="34">
        <f t="shared" si="5"/>
        <v>0</v>
      </c>
    </row>
    <row r="69" spans="1:12" ht="15.75" x14ac:dyDescent="0.25">
      <c r="A69">
        <v>598823</v>
      </c>
      <c r="B69" s="9">
        <v>250</v>
      </c>
      <c r="C69" s="10" t="s">
        <v>62</v>
      </c>
      <c r="D69" s="11"/>
      <c r="E69" s="36"/>
      <c r="F69" s="36"/>
      <c r="G69" s="36"/>
      <c r="H69" s="13">
        <f t="shared" si="4"/>
        <v>0</v>
      </c>
      <c r="I69" s="12"/>
      <c r="J69" s="14">
        <f t="shared" si="3"/>
        <v>0</v>
      </c>
      <c r="L69" s="34">
        <f t="shared" si="5"/>
        <v>0</v>
      </c>
    </row>
    <row r="70" spans="1:12" ht="15.75" x14ac:dyDescent="0.25">
      <c r="B70" s="9">
        <v>250</v>
      </c>
      <c r="C70" s="10" t="s">
        <v>54</v>
      </c>
      <c r="D70" s="11"/>
      <c r="E70" s="36"/>
      <c r="F70" s="36"/>
      <c r="G70" s="36"/>
      <c r="H70" s="13">
        <f t="shared" si="4"/>
        <v>0</v>
      </c>
      <c r="I70" s="12"/>
      <c r="J70" s="14">
        <f t="shared" si="3"/>
        <v>0</v>
      </c>
      <c r="L70" s="34">
        <f t="shared" si="5"/>
        <v>0</v>
      </c>
    </row>
    <row r="71" spans="1:12" ht="15.75" x14ac:dyDescent="0.25">
      <c r="B71" s="9">
        <v>250</v>
      </c>
      <c r="C71" s="10" t="s">
        <v>55</v>
      </c>
      <c r="D71" s="11"/>
      <c r="E71" s="36"/>
      <c r="F71" s="36"/>
      <c r="G71" s="36"/>
      <c r="H71" s="13">
        <f t="shared" si="4"/>
        <v>0</v>
      </c>
      <c r="I71" s="12"/>
      <c r="J71" s="14">
        <f t="shared" si="3"/>
        <v>0</v>
      </c>
      <c r="L71" s="34">
        <f t="shared" si="5"/>
        <v>0</v>
      </c>
    </row>
    <row r="72" spans="1:12" ht="15.75" x14ac:dyDescent="0.25">
      <c r="B72" s="9">
        <v>250</v>
      </c>
      <c r="C72" s="10" t="s">
        <v>56</v>
      </c>
      <c r="D72" s="11"/>
      <c r="E72" s="36"/>
      <c r="F72" s="36"/>
      <c r="G72" s="36"/>
      <c r="H72" s="13">
        <f t="shared" si="4"/>
        <v>0</v>
      </c>
      <c r="I72" s="12"/>
      <c r="J72" s="14">
        <f t="shared" si="3"/>
        <v>0</v>
      </c>
      <c r="L72" s="34">
        <f t="shared" si="5"/>
        <v>0</v>
      </c>
    </row>
    <row r="73" spans="1:12" ht="15.75" x14ac:dyDescent="0.25">
      <c r="B73" s="9">
        <v>1000</v>
      </c>
      <c r="C73" s="10" t="s">
        <v>52</v>
      </c>
      <c r="D73" s="11"/>
      <c r="E73" s="36"/>
      <c r="F73" s="36"/>
      <c r="G73" s="36"/>
      <c r="H73" s="13">
        <f t="shared" si="4"/>
        <v>0</v>
      </c>
      <c r="I73" s="12"/>
      <c r="J73" s="14">
        <f t="shared" si="3"/>
        <v>0</v>
      </c>
      <c r="L73" s="34">
        <f t="shared" si="5"/>
        <v>0</v>
      </c>
    </row>
    <row r="74" spans="1:12" ht="15.75" x14ac:dyDescent="0.25">
      <c r="B74" s="9">
        <v>1000</v>
      </c>
      <c r="C74" s="10" t="s">
        <v>53</v>
      </c>
      <c r="D74" s="11"/>
      <c r="E74" s="36"/>
      <c r="F74" s="36"/>
      <c r="G74" s="36"/>
      <c r="H74" s="13">
        <f t="shared" si="4"/>
        <v>0</v>
      </c>
      <c r="I74" s="12"/>
      <c r="J74" s="14">
        <f t="shared" si="3"/>
        <v>0</v>
      </c>
      <c r="L74" s="34">
        <f t="shared" si="5"/>
        <v>0</v>
      </c>
    </row>
    <row r="75" spans="1:12" ht="15.75" x14ac:dyDescent="0.25">
      <c r="B75" s="9">
        <v>1000</v>
      </c>
      <c r="C75" s="10" t="s">
        <v>54</v>
      </c>
      <c r="D75" s="11"/>
      <c r="E75" s="36"/>
      <c r="F75" s="36"/>
      <c r="G75" s="36"/>
      <c r="H75" s="13">
        <f t="shared" si="4"/>
        <v>0</v>
      </c>
      <c r="I75" s="12"/>
      <c r="J75" s="14">
        <f t="shared" si="3"/>
        <v>0</v>
      </c>
      <c r="L75" s="34">
        <f t="shared" si="5"/>
        <v>0</v>
      </c>
    </row>
    <row r="76" spans="1:12" ht="15.75" x14ac:dyDescent="0.25">
      <c r="B76" s="9">
        <v>1000</v>
      </c>
      <c r="C76" s="10" t="s">
        <v>55</v>
      </c>
      <c r="D76" s="11"/>
      <c r="E76" s="36"/>
      <c r="F76" s="36"/>
      <c r="G76" s="36"/>
      <c r="H76" s="13">
        <f t="shared" si="4"/>
        <v>0</v>
      </c>
      <c r="I76" s="12"/>
      <c r="J76" s="14">
        <f t="shared" si="3"/>
        <v>0</v>
      </c>
      <c r="L76" s="34">
        <f t="shared" si="5"/>
        <v>0</v>
      </c>
    </row>
    <row r="77" spans="1:12" ht="15.75" x14ac:dyDescent="0.25">
      <c r="B77" s="9">
        <v>1000</v>
      </c>
      <c r="C77" s="10" t="s">
        <v>56</v>
      </c>
      <c r="D77" s="11"/>
      <c r="E77" s="36"/>
      <c r="F77" s="36"/>
      <c r="G77" s="36"/>
      <c r="H77" s="13">
        <f t="shared" si="4"/>
        <v>0</v>
      </c>
      <c r="I77" s="12"/>
      <c r="J77" s="14">
        <f t="shared" si="3"/>
        <v>0</v>
      </c>
      <c r="L77" s="34">
        <f t="shared" si="5"/>
        <v>0</v>
      </c>
    </row>
    <row r="78" spans="1:12" ht="15.75" x14ac:dyDescent="0.25">
      <c r="A78">
        <v>599461</v>
      </c>
      <c r="B78" s="18">
        <v>145</v>
      </c>
      <c r="C78" s="10" t="s">
        <v>63</v>
      </c>
      <c r="D78" s="11"/>
      <c r="E78" s="36"/>
      <c r="F78" s="36"/>
      <c r="G78" s="36"/>
      <c r="H78" s="13">
        <f t="shared" si="4"/>
        <v>0</v>
      </c>
      <c r="I78" s="12"/>
      <c r="J78" s="14">
        <f t="shared" si="3"/>
        <v>0</v>
      </c>
      <c r="L78" s="34">
        <f t="shared" si="5"/>
        <v>0</v>
      </c>
    </row>
    <row r="79" spans="1:12" ht="15.75" x14ac:dyDescent="0.25">
      <c r="B79" s="9">
        <v>145</v>
      </c>
      <c r="C79" s="10" t="s">
        <v>64</v>
      </c>
      <c r="D79" s="11"/>
      <c r="E79" s="36"/>
      <c r="F79" s="36"/>
      <c r="G79" s="36"/>
      <c r="H79" s="13">
        <f t="shared" si="4"/>
        <v>0</v>
      </c>
      <c r="I79" s="12"/>
      <c r="J79" s="14">
        <f t="shared" si="3"/>
        <v>0</v>
      </c>
      <c r="L79" s="34">
        <f t="shared" si="5"/>
        <v>0</v>
      </c>
    </row>
    <row r="80" spans="1:12" ht="15.75" x14ac:dyDescent="0.25">
      <c r="B80" s="9">
        <v>145</v>
      </c>
      <c r="C80" s="10" t="s">
        <v>65</v>
      </c>
      <c r="D80" s="11"/>
      <c r="E80" s="36"/>
      <c r="F80" s="36"/>
      <c r="G80" s="36"/>
      <c r="H80" s="13">
        <f t="shared" si="4"/>
        <v>0</v>
      </c>
      <c r="I80" s="12"/>
      <c r="J80" s="14">
        <f t="shared" si="3"/>
        <v>0</v>
      </c>
      <c r="L80" s="34">
        <f t="shared" si="5"/>
        <v>0</v>
      </c>
    </row>
    <row r="81" spans="1:12" ht="15.75" x14ac:dyDescent="0.25">
      <c r="A81">
        <v>522287</v>
      </c>
      <c r="B81" s="9">
        <v>360</v>
      </c>
      <c r="C81" s="10" t="s">
        <v>66</v>
      </c>
      <c r="D81" s="11"/>
      <c r="E81" s="36"/>
      <c r="F81" s="36"/>
      <c r="G81" s="36"/>
      <c r="H81" s="13">
        <f t="shared" si="4"/>
        <v>0</v>
      </c>
      <c r="I81" s="12"/>
      <c r="J81" s="14">
        <f t="shared" si="3"/>
        <v>0</v>
      </c>
      <c r="L81" s="34">
        <f t="shared" si="5"/>
        <v>0</v>
      </c>
    </row>
    <row r="82" spans="1:12" ht="15.75" x14ac:dyDescent="0.25">
      <c r="A82">
        <v>522286</v>
      </c>
      <c r="B82" s="18">
        <v>360</v>
      </c>
      <c r="C82" s="10" t="s">
        <v>67</v>
      </c>
      <c r="D82" s="11"/>
      <c r="E82" s="36"/>
      <c r="F82" s="36"/>
      <c r="G82" s="36"/>
      <c r="H82" s="13">
        <f t="shared" si="4"/>
        <v>0</v>
      </c>
      <c r="I82" s="12"/>
      <c r="J82" s="14">
        <f t="shared" si="3"/>
        <v>0</v>
      </c>
      <c r="L82" s="34">
        <f t="shared" si="5"/>
        <v>0</v>
      </c>
    </row>
    <row r="83" spans="1:12" ht="15.75" x14ac:dyDescent="0.25">
      <c r="A83">
        <v>522278</v>
      </c>
      <c r="B83" s="18">
        <v>360</v>
      </c>
      <c r="C83" s="10" t="s">
        <v>68</v>
      </c>
      <c r="D83" s="11"/>
      <c r="E83" s="36"/>
      <c r="F83" s="36"/>
      <c r="G83" s="36"/>
      <c r="H83" s="13">
        <f t="shared" si="4"/>
        <v>0</v>
      </c>
      <c r="I83" s="12"/>
      <c r="J83" s="14">
        <f t="shared" si="3"/>
        <v>0</v>
      </c>
      <c r="L83" s="34">
        <f t="shared" si="5"/>
        <v>0</v>
      </c>
    </row>
    <row r="84" spans="1:12" ht="15.75" x14ac:dyDescent="0.25">
      <c r="B84" s="9">
        <v>360</v>
      </c>
      <c r="C84" s="10" t="s">
        <v>69</v>
      </c>
      <c r="D84" s="11"/>
      <c r="E84" s="36"/>
      <c r="F84" s="36"/>
      <c r="G84" s="36"/>
      <c r="H84" s="13">
        <f t="shared" si="4"/>
        <v>0</v>
      </c>
      <c r="I84" s="12"/>
      <c r="J84" s="14">
        <f t="shared" si="3"/>
        <v>0</v>
      </c>
      <c r="L84" s="34">
        <f t="shared" si="5"/>
        <v>0</v>
      </c>
    </row>
    <row r="85" spans="1:12" ht="15.75" x14ac:dyDescent="0.25">
      <c r="B85" s="9">
        <v>360</v>
      </c>
      <c r="C85" s="10" t="s">
        <v>70</v>
      </c>
      <c r="D85" s="11"/>
      <c r="E85" s="36"/>
      <c r="F85" s="36"/>
      <c r="G85" s="36"/>
      <c r="H85" s="13">
        <f t="shared" si="4"/>
        <v>0</v>
      </c>
      <c r="I85" s="12"/>
      <c r="J85" s="14">
        <f t="shared" si="3"/>
        <v>0</v>
      </c>
      <c r="L85" s="34">
        <f t="shared" si="5"/>
        <v>0</v>
      </c>
    </row>
    <row r="86" spans="1:12" ht="15.75" x14ac:dyDescent="0.25">
      <c r="B86" s="9">
        <v>360</v>
      </c>
      <c r="C86" s="10" t="s">
        <v>71</v>
      </c>
      <c r="D86" s="11"/>
      <c r="E86" s="36"/>
      <c r="F86" s="36"/>
      <c r="G86" s="36"/>
      <c r="H86" s="13">
        <f t="shared" si="4"/>
        <v>0</v>
      </c>
      <c r="I86" s="12"/>
      <c r="J86" s="14">
        <f t="shared" si="3"/>
        <v>0</v>
      </c>
      <c r="L86" s="34">
        <f t="shared" si="5"/>
        <v>0</v>
      </c>
    </row>
    <row r="87" spans="1:12" ht="15.75" x14ac:dyDescent="0.25">
      <c r="B87" s="9">
        <v>360</v>
      </c>
      <c r="C87" s="10" t="s">
        <v>72</v>
      </c>
      <c r="D87" s="11"/>
      <c r="E87" s="36"/>
      <c r="F87" s="36"/>
      <c r="G87" s="36"/>
      <c r="H87" s="13">
        <f t="shared" si="4"/>
        <v>0</v>
      </c>
      <c r="I87" s="12"/>
      <c r="J87" s="14">
        <f t="shared" si="3"/>
        <v>0</v>
      </c>
      <c r="L87" s="34">
        <f t="shared" si="5"/>
        <v>0</v>
      </c>
    </row>
    <row r="88" spans="1:12" ht="15.75" x14ac:dyDescent="0.25">
      <c r="A88">
        <v>522501</v>
      </c>
      <c r="B88" s="9">
        <v>625</v>
      </c>
      <c r="C88" s="10" t="s">
        <v>66</v>
      </c>
      <c r="D88" s="11"/>
      <c r="E88" s="36"/>
      <c r="F88" s="36"/>
      <c r="G88" s="36"/>
      <c r="H88" s="13">
        <f t="shared" si="4"/>
        <v>0</v>
      </c>
      <c r="I88" s="12"/>
      <c r="J88" s="14">
        <f>H88-I88</f>
        <v>0</v>
      </c>
      <c r="L88" s="34">
        <f t="shared" si="5"/>
        <v>0</v>
      </c>
    </row>
    <row r="89" spans="1:12" ht="15.75" x14ac:dyDescent="0.25">
      <c r="A89">
        <v>522502</v>
      </c>
      <c r="B89" s="9">
        <v>625</v>
      </c>
      <c r="C89" s="10" t="s">
        <v>68</v>
      </c>
      <c r="D89" s="11"/>
      <c r="E89" s="36"/>
      <c r="F89" s="36"/>
      <c r="G89" s="36"/>
      <c r="H89" s="13">
        <f t="shared" si="4"/>
        <v>0</v>
      </c>
      <c r="I89" s="12"/>
      <c r="J89" s="14">
        <f t="shared" si="3"/>
        <v>0</v>
      </c>
      <c r="L89" s="34">
        <f t="shared" si="5"/>
        <v>0</v>
      </c>
    </row>
    <row r="90" spans="1:12" ht="15.75" x14ac:dyDescent="0.25">
      <c r="A90">
        <v>522500</v>
      </c>
      <c r="B90" s="9">
        <v>625</v>
      </c>
      <c r="C90" s="10" t="s">
        <v>67</v>
      </c>
      <c r="D90" s="11"/>
      <c r="E90" s="36"/>
      <c r="F90" s="36"/>
      <c r="G90" s="36"/>
      <c r="H90" s="13">
        <f t="shared" si="4"/>
        <v>0</v>
      </c>
      <c r="I90" s="12"/>
      <c r="J90" s="14">
        <f t="shared" si="3"/>
        <v>0</v>
      </c>
      <c r="L90" s="34">
        <f t="shared" si="5"/>
        <v>0</v>
      </c>
    </row>
    <row r="91" spans="1:12" ht="15.75" x14ac:dyDescent="0.25">
      <c r="B91" s="9">
        <v>625</v>
      </c>
      <c r="C91" s="10" t="s">
        <v>73</v>
      </c>
      <c r="D91" s="11"/>
      <c r="E91" s="36"/>
      <c r="F91" s="36"/>
      <c r="G91" s="36"/>
      <c r="H91" s="13">
        <f t="shared" si="4"/>
        <v>0</v>
      </c>
      <c r="I91" s="12"/>
      <c r="J91" s="14">
        <f t="shared" si="3"/>
        <v>0</v>
      </c>
      <c r="L91" s="34">
        <f t="shared" si="5"/>
        <v>0</v>
      </c>
    </row>
    <row r="92" spans="1:12" ht="15.75" x14ac:dyDescent="0.25">
      <c r="B92" s="9">
        <v>625</v>
      </c>
      <c r="C92" s="10" t="s">
        <v>70</v>
      </c>
      <c r="D92" s="11"/>
      <c r="E92" s="36"/>
      <c r="F92" s="36"/>
      <c r="G92" s="36"/>
      <c r="H92" s="13">
        <f t="shared" si="4"/>
        <v>0</v>
      </c>
      <c r="I92" s="12"/>
      <c r="J92" s="14">
        <f t="shared" si="3"/>
        <v>0</v>
      </c>
      <c r="L92" s="34">
        <f t="shared" si="5"/>
        <v>0</v>
      </c>
    </row>
    <row r="93" spans="1:12" ht="15.75" x14ac:dyDescent="0.25">
      <c r="B93" s="9">
        <v>625</v>
      </c>
      <c r="C93" s="10" t="s">
        <v>71</v>
      </c>
      <c r="D93" s="11"/>
      <c r="E93" s="36"/>
      <c r="F93" s="36"/>
      <c r="G93" s="36"/>
      <c r="H93" s="13">
        <f t="shared" si="4"/>
        <v>0</v>
      </c>
      <c r="I93" s="12"/>
      <c r="J93" s="14">
        <f t="shared" si="3"/>
        <v>0</v>
      </c>
      <c r="L93" s="34">
        <f t="shared" si="5"/>
        <v>0</v>
      </c>
    </row>
    <row r="94" spans="1:12" ht="15.75" x14ac:dyDescent="0.25">
      <c r="A94">
        <v>522498</v>
      </c>
      <c r="B94" s="9">
        <v>625</v>
      </c>
      <c r="C94" s="10" t="s">
        <v>74</v>
      </c>
      <c r="D94" s="11"/>
      <c r="E94" s="36"/>
      <c r="F94" s="36"/>
      <c r="G94" s="36"/>
      <c r="H94" s="13">
        <f t="shared" si="4"/>
        <v>0</v>
      </c>
      <c r="I94" s="12"/>
      <c r="J94" s="14">
        <f t="shared" si="3"/>
        <v>0</v>
      </c>
      <c r="L94" s="34">
        <f t="shared" si="5"/>
        <v>0</v>
      </c>
    </row>
    <row r="95" spans="1:12" ht="15.75" x14ac:dyDescent="0.25">
      <c r="A95">
        <v>517507</v>
      </c>
      <c r="B95" s="18">
        <v>500</v>
      </c>
      <c r="C95" s="17" t="s">
        <v>75</v>
      </c>
      <c r="D95" s="11"/>
      <c r="E95" s="36"/>
      <c r="F95" s="36"/>
      <c r="G95" s="36"/>
      <c r="H95" s="13">
        <f t="shared" si="4"/>
        <v>0</v>
      </c>
      <c r="I95" s="12"/>
      <c r="J95" s="14">
        <f t="shared" si="3"/>
        <v>0</v>
      </c>
      <c r="L95" s="34">
        <f t="shared" si="5"/>
        <v>0</v>
      </c>
    </row>
    <row r="96" spans="1:12" ht="15.75" x14ac:dyDescent="0.25">
      <c r="A96">
        <v>517499</v>
      </c>
      <c r="B96" s="18">
        <v>360</v>
      </c>
      <c r="C96" s="17" t="s">
        <v>75</v>
      </c>
      <c r="D96" s="11"/>
      <c r="E96" s="36"/>
      <c r="F96" s="36"/>
      <c r="G96" s="36"/>
      <c r="H96" s="13">
        <f t="shared" si="4"/>
        <v>0</v>
      </c>
      <c r="I96" s="12"/>
      <c r="J96" s="14">
        <f t="shared" si="3"/>
        <v>0</v>
      </c>
      <c r="L96" s="34">
        <f t="shared" si="5"/>
        <v>0</v>
      </c>
    </row>
    <row r="97" spans="1:12" ht="15.75" x14ac:dyDescent="0.25">
      <c r="B97" s="9">
        <v>625</v>
      </c>
      <c r="C97" s="10" t="s">
        <v>76</v>
      </c>
      <c r="D97" s="11"/>
      <c r="E97" s="36"/>
      <c r="F97" s="36"/>
      <c r="G97" s="36"/>
      <c r="H97" s="13">
        <f t="shared" si="4"/>
        <v>0</v>
      </c>
      <c r="I97" s="12"/>
      <c r="J97" s="14">
        <f t="shared" si="3"/>
        <v>0</v>
      </c>
      <c r="L97" s="34">
        <f t="shared" si="5"/>
        <v>0</v>
      </c>
    </row>
    <row r="98" spans="1:12" ht="15.75" x14ac:dyDescent="0.25">
      <c r="B98" s="9">
        <v>3030</v>
      </c>
      <c r="C98" s="10" t="s">
        <v>76</v>
      </c>
      <c r="D98" s="11"/>
      <c r="E98" s="36"/>
      <c r="F98" s="36"/>
      <c r="G98" s="36"/>
      <c r="H98" s="13">
        <f t="shared" si="4"/>
        <v>0</v>
      </c>
      <c r="I98" s="12"/>
      <c r="J98" s="14">
        <f t="shared" si="3"/>
        <v>0</v>
      </c>
      <c r="L98" s="34">
        <f t="shared" si="5"/>
        <v>0</v>
      </c>
    </row>
    <row r="99" spans="1:12" ht="15.75" x14ac:dyDescent="0.25">
      <c r="B99" s="9">
        <v>355</v>
      </c>
      <c r="C99" s="10" t="s">
        <v>18</v>
      </c>
      <c r="D99" s="11"/>
      <c r="E99" s="36"/>
      <c r="F99" s="36"/>
      <c r="G99" s="36"/>
      <c r="H99" s="13">
        <f t="shared" si="4"/>
        <v>0</v>
      </c>
      <c r="I99" s="12"/>
      <c r="J99" s="14">
        <f t="shared" si="3"/>
        <v>0</v>
      </c>
      <c r="L99" s="34">
        <f t="shared" si="5"/>
        <v>0</v>
      </c>
    </row>
    <row r="100" spans="1:12" ht="15.75" x14ac:dyDescent="0.25">
      <c r="B100" s="9">
        <v>911</v>
      </c>
      <c r="C100" s="10" t="s">
        <v>77</v>
      </c>
      <c r="D100" s="11"/>
      <c r="E100" s="36"/>
      <c r="F100" s="36"/>
      <c r="G100" s="36"/>
      <c r="H100" s="13">
        <f t="shared" si="4"/>
        <v>0</v>
      </c>
      <c r="I100" s="12"/>
      <c r="J100" s="14">
        <f t="shared" si="3"/>
        <v>0</v>
      </c>
      <c r="L100" s="34">
        <f t="shared" si="5"/>
        <v>0</v>
      </c>
    </row>
    <row r="101" spans="1:12" ht="15.75" x14ac:dyDescent="0.25">
      <c r="A101">
        <v>500386</v>
      </c>
      <c r="B101" s="9">
        <v>355</v>
      </c>
      <c r="C101" s="10" t="s">
        <v>21</v>
      </c>
      <c r="D101" s="11"/>
      <c r="E101" s="36"/>
      <c r="F101" s="36"/>
      <c r="G101" s="36"/>
      <c r="H101" s="13">
        <f t="shared" si="4"/>
        <v>0</v>
      </c>
      <c r="I101" s="12"/>
      <c r="J101" s="14">
        <f t="shared" si="3"/>
        <v>0</v>
      </c>
      <c r="L101" s="34">
        <f t="shared" si="5"/>
        <v>0</v>
      </c>
    </row>
    <row r="102" spans="1:12" ht="15.75" x14ac:dyDescent="0.25">
      <c r="A102">
        <v>598944</v>
      </c>
      <c r="B102" s="20">
        <v>355</v>
      </c>
      <c r="C102" s="21" t="s">
        <v>14</v>
      </c>
      <c r="D102" s="11"/>
      <c r="E102" s="36"/>
      <c r="F102" s="36"/>
      <c r="G102" s="36"/>
      <c r="H102" s="13">
        <f t="shared" si="4"/>
        <v>0</v>
      </c>
      <c r="I102" s="12"/>
      <c r="J102" s="14">
        <f t="shared" si="3"/>
        <v>0</v>
      </c>
      <c r="L102" s="34">
        <f t="shared" si="5"/>
        <v>0</v>
      </c>
    </row>
    <row r="103" spans="1:12" ht="15.75" x14ac:dyDescent="0.25">
      <c r="B103" s="20">
        <v>355</v>
      </c>
      <c r="C103" s="21" t="s">
        <v>16</v>
      </c>
      <c r="D103" s="11"/>
      <c r="E103" s="36"/>
      <c r="F103" s="36"/>
      <c r="G103" s="36"/>
      <c r="H103" s="13">
        <f t="shared" si="4"/>
        <v>0</v>
      </c>
      <c r="I103" s="12"/>
      <c r="J103" s="14">
        <f t="shared" si="3"/>
        <v>0</v>
      </c>
      <c r="L103" s="34">
        <f t="shared" si="5"/>
        <v>0</v>
      </c>
    </row>
    <row r="104" spans="1:12" ht="15.75" x14ac:dyDescent="0.25">
      <c r="A104">
        <v>598947</v>
      </c>
      <c r="B104" s="20">
        <v>355</v>
      </c>
      <c r="C104" s="21" t="s">
        <v>15</v>
      </c>
      <c r="D104" s="11"/>
      <c r="E104" s="36"/>
      <c r="F104" s="36"/>
      <c r="G104" s="36"/>
      <c r="H104" s="13">
        <f t="shared" si="4"/>
        <v>0</v>
      </c>
      <c r="I104" s="12"/>
      <c r="J104" s="14">
        <v>0</v>
      </c>
      <c r="L104" s="34">
        <f t="shared" si="5"/>
        <v>0</v>
      </c>
    </row>
    <row r="105" spans="1:12" ht="15.75" x14ac:dyDescent="0.25">
      <c r="A105">
        <v>598943</v>
      </c>
      <c r="B105" s="20">
        <v>355</v>
      </c>
      <c r="C105" s="21" t="s">
        <v>17</v>
      </c>
      <c r="D105" s="11"/>
      <c r="E105" s="36"/>
      <c r="F105" s="36"/>
      <c r="G105" s="36"/>
      <c r="H105" s="13">
        <f t="shared" si="4"/>
        <v>0</v>
      </c>
      <c r="I105" s="12"/>
      <c r="J105" s="14">
        <f t="shared" si="3"/>
        <v>0</v>
      </c>
      <c r="L105" s="34">
        <f t="shared" si="5"/>
        <v>0</v>
      </c>
    </row>
    <row r="106" spans="1:12" ht="15.75" x14ac:dyDescent="0.25">
      <c r="B106" s="20">
        <v>355</v>
      </c>
      <c r="C106" s="21" t="s">
        <v>78</v>
      </c>
      <c r="D106" s="11"/>
      <c r="E106" s="36"/>
      <c r="F106" s="36"/>
      <c r="G106" s="36"/>
      <c r="H106" s="13">
        <f t="shared" si="4"/>
        <v>0</v>
      </c>
      <c r="I106" s="12"/>
      <c r="J106" s="14">
        <f t="shared" si="3"/>
        <v>0</v>
      </c>
      <c r="L106" s="34">
        <f t="shared" si="5"/>
        <v>0</v>
      </c>
    </row>
    <row r="107" spans="1:12" ht="15.75" x14ac:dyDescent="0.25">
      <c r="B107" s="20">
        <v>355</v>
      </c>
      <c r="C107" s="21" t="s">
        <v>79</v>
      </c>
      <c r="D107" s="11"/>
      <c r="E107" s="36"/>
      <c r="F107" s="36"/>
      <c r="G107" s="36"/>
      <c r="H107" s="13">
        <f t="shared" si="4"/>
        <v>0</v>
      </c>
      <c r="I107" s="12"/>
      <c r="J107" s="14">
        <f t="shared" si="3"/>
        <v>0</v>
      </c>
      <c r="L107" s="34">
        <f t="shared" si="5"/>
        <v>0</v>
      </c>
    </row>
    <row r="108" spans="1:12" ht="15.75" x14ac:dyDescent="0.25">
      <c r="B108" s="20">
        <v>355</v>
      </c>
      <c r="C108" s="21" t="s">
        <v>80</v>
      </c>
      <c r="D108" s="11"/>
      <c r="E108" s="36"/>
      <c r="F108" s="36"/>
      <c r="G108" s="36"/>
      <c r="H108" s="13">
        <f t="shared" si="4"/>
        <v>0</v>
      </c>
      <c r="I108" s="12"/>
      <c r="J108" s="14">
        <f t="shared" si="3"/>
        <v>0</v>
      </c>
      <c r="L108" s="34">
        <f t="shared" si="5"/>
        <v>0</v>
      </c>
    </row>
    <row r="109" spans="1:12" ht="15.75" x14ac:dyDescent="0.25">
      <c r="B109" s="20">
        <v>145</v>
      </c>
      <c r="C109" s="21" t="s">
        <v>70</v>
      </c>
      <c r="D109" s="11"/>
      <c r="E109" s="36"/>
      <c r="F109" s="36"/>
      <c r="G109" s="36"/>
      <c r="H109" s="13">
        <f t="shared" si="4"/>
        <v>0</v>
      </c>
      <c r="I109" s="12"/>
      <c r="J109" s="14">
        <f t="shared" si="3"/>
        <v>0</v>
      </c>
      <c r="L109" s="34">
        <f t="shared" si="5"/>
        <v>0</v>
      </c>
    </row>
    <row r="110" spans="1:12" ht="15.75" x14ac:dyDescent="0.25">
      <c r="B110" s="20">
        <v>145</v>
      </c>
      <c r="C110" s="21" t="s">
        <v>68</v>
      </c>
      <c r="D110" s="11"/>
      <c r="E110" s="36"/>
      <c r="F110" s="36"/>
      <c r="G110" s="36"/>
      <c r="H110" s="13">
        <f t="shared" si="4"/>
        <v>0</v>
      </c>
      <c r="I110" s="12"/>
      <c r="J110" s="14">
        <f t="shared" si="3"/>
        <v>0</v>
      </c>
      <c r="L110" s="34">
        <f t="shared" si="5"/>
        <v>0</v>
      </c>
    </row>
    <row r="111" spans="1:12" ht="15.75" x14ac:dyDescent="0.25">
      <c r="B111" s="20">
        <v>145</v>
      </c>
      <c r="C111" s="21" t="s">
        <v>73</v>
      </c>
      <c r="D111" s="11"/>
      <c r="E111" s="36"/>
      <c r="F111" s="36"/>
      <c r="G111" s="36"/>
      <c r="H111" s="13">
        <f t="shared" si="4"/>
        <v>0</v>
      </c>
      <c r="I111" s="12"/>
      <c r="J111" s="14">
        <f t="shared" si="3"/>
        <v>0</v>
      </c>
      <c r="L111" s="34">
        <f t="shared" si="5"/>
        <v>0</v>
      </c>
    </row>
    <row r="112" spans="1:12" ht="15.75" x14ac:dyDescent="0.25">
      <c r="B112" s="20"/>
      <c r="C112" s="21" t="s">
        <v>66</v>
      </c>
      <c r="D112" s="11"/>
      <c r="E112" s="36"/>
      <c r="F112" s="36"/>
      <c r="G112" s="36"/>
      <c r="H112" s="13">
        <f t="shared" si="4"/>
        <v>0</v>
      </c>
      <c r="I112" s="12"/>
      <c r="J112" s="14">
        <f t="shared" si="3"/>
        <v>0</v>
      </c>
      <c r="L112" s="34">
        <f t="shared" si="5"/>
        <v>0</v>
      </c>
    </row>
    <row r="113" spans="1:12" ht="15.75" x14ac:dyDescent="0.25">
      <c r="B113" s="20"/>
      <c r="C113" s="21" t="s">
        <v>81</v>
      </c>
      <c r="D113" s="11"/>
      <c r="E113" s="36"/>
      <c r="F113" s="36"/>
      <c r="G113" s="36"/>
      <c r="H113" s="13">
        <f t="shared" si="4"/>
        <v>0</v>
      </c>
      <c r="I113" s="12"/>
      <c r="J113" s="14">
        <f t="shared" si="3"/>
        <v>0</v>
      </c>
      <c r="L113" s="34">
        <f t="shared" si="5"/>
        <v>0</v>
      </c>
    </row>
    <row r="114" spans="1:12" ht="15.75" x14ac:dyDescent="0.25">
      <c r="B114" s="20"/>
      <c r="C114" s="21" t="s">
        <v>74</v>
      </c>
      <c r="D114" s="11"/>
      <c r="E114" s="36"/>
      <c r="F114" s="36"/>
      <c r="G114" s="36"/>
      <c r="H114" s="13">
        <f t="shared" si="4"/>
        <v>0</v>
      </c>
      <c r="I114" s="12"/>
      <c r="J114" s="14">
        <f t="shared" si="3"/>
        <v>0</v>
      </c>
      <c r="L114" s="34">
        <f t="shared" si="5"/>
        <v>0</v>
      </c>
    </row>
    <row r="115" spans="1:12" ht="15.75" x14ac:dyDescent="0.25">
      <c r="B115" s="20"/>
      <c r="C115" s="21" t="s">
        <v>82</v>
      </c>
      <c r="D115" s="11"/>
      <c r="E115" s="36"/>
      <c r="F115" s="36"/>
      <c r="G115" s="36"/>
      <c r="H115" s="13">
        <f t="shared" si="4"/>
        <v>0</v>
      </c>
      <c r="I115" s="12"/>
      <c r="J115" s="14">
        <f t="shared" si="3"/>
        <v>0</v>
      </c>
      <c r="L115" s="34">
        <f t="shared" si="5"/>
        <v>0</v>
      </c>
    </row>
    <row r="116" spans="1:12" ht="15.75" x14ac:dyDescent="0.25">
      <c r="B116" s="20">
        <v>250</v>
      </c>
      <c r="C116" s="21" t="s">
        <v>12</v>
      </c>
      <c r="D116" s="11"/>
      <c r="E116" s="36"/>
      <c r="F116" s="36"/>
      <c r="G116" s="36"/>
      <c r="H116" s="13">
        <f t="shared" si="4"/>
        <v>0</v>
      </c>
      <c r="I116" s="12"/>
      <c r="J116" s="14">
        <f t="shared" si="3"/>
        <v>0</v>
      </c>
      <c r="L116" s="34">
        <f t="shared" si="5"/>
        <v>0</v>
      </c>
    </row>
    <row r="117" spans="1:12" ht="15.75" x14ac:dyDescent="0.25">
      <c r="B117" s="20">
        <v>250</v>
      </c>
      <c r="C117" s="21" t="s">
        <v>83</v>
      </c>
      <c r="D117" s="11"/>
      <c r="E117" s="36"/>
      <c r="F117" s="36"/>
      <c r="G117" s="36"/>
      <c r="H117" s="13">
        <f t="shared" si="4"/>
        <v>0</v>
      </c>
      <c r="I117" s="12"/>
      <c r="J117" s="14">
        <f t="shared" si="3"/>
        <v>0</v>
      </c>
      <c r="L117" s="34">
        <f t="shared" si="5"/>
        <v>0</v>
      </c>
    </row>
    <row r="118" spans="1:12" ht="15.75" x14ac:dyDescent="0.25">
      <c r="B118" s="20">
        <v>1000</v>
      </c>
      <c r="C118" s="21" t="s">
        <v>83</v>
      </c>
      <c r="D118" s="11"/>
      <c r="E118" s="36"/>
      <c r="F118" s="36"/>
      <c r="G118" s="36"/>
      <c r="H118" s="13">
        <f t="shared" si="4"/>
        <v>0</v>
      </c>
      <c r="I118" s="12"/>
      <c r="J118" s="14">
        <f t="shared" si="3"/>
        <v>0</v>
      </c>
      <c r="L118" s="34">
        <f t="shared" si="5"/>
        <v>0</v>
      </c>
    </row>
    <row r="119" spans="1:12" ht="15.75" x14ac:dyDescent="0.25">
      <c r="B119" s="20">
        <v>250</v>
      </c>
      <c r="C119" s="21" t="s">
        <v>84</v>
      </c>
      <c r="D119" s="11"/>
      <c r="E119" s="36"/>
      <c r="F119" s="36"/>
      <c r="G119" s="36"/>
      <c r="H119" s="13">
        <f t="shared" si="4"/>
        <v>0</v>
      </c>
      <c r="I119" s="12"/>
      <c r="J119" s="14">
        <f t="shared" si="3"/>
        <v>0</v>
      </c>
      <c r="L119" s="34">
        <f t="shared" si="5"/>
        <v>0</v>
      </c>
    </row>
    <row r="120" spans="1:12" ht="15.75" x14ac:dyDescent="0.25">
      <c r="A120">
        <v>522665</v>
      </c>
      <c r="B120" s="22">
        <v>1.5</v>
      </c>
      <c r="C120" s="23" t="s">
        <v>85</v>
      </c>
      <c r="D120" s="11"/>
      <c r="E120" s="36"/>
      <c r="F120" s="36"/>
      <c r="G120" s="36"/>
      <c r="H120" s="13">
        <f t="shared" si="4"/>
        <v>0</v>
      </c>
      <c r="I120" s="12"/>
      <c r="J120" s="14">
        <f t="shared" si="3"/>
        <v>0</v>
      </c>
      <c r="L120" s="34">
        <f t="shared" si="5"/>
        <v>0</v>
      </c>
    </row>
    <row r="121" spans="1:12" ht="15.75" x14ac:dyDescent="0.25">
      <c r="A121">
        <v>522664</v>
      </c>
      <c r="B121" s="20">
        <v>1.5</v>
      </c>
      <c r="C121" s="21" t="s">
        <v>86</v>
      </c>
      <c r="D121" s="11"/>
      <c r="E121" s="36"/>
      <c r="F121" s="36"/>
      <c r="G121" s="36"/>
      <c r="H121" s="13">
        <f t="shared" si="4"/>
        <v>0</v>
      </c>
      <c r="I121" s="12"/>
      <c r="J121" s="14">
        <f t="shared" si="3"/>
        <v>0</v>
      </c>
      <c r="L121" s="34">
        <f t="shared" si="5"/>
        <v>0</v>
      </c>
    </row>
    <row r="122" spans="1:12" ht="15.75" x14ac:dyDescent="0.25">
      <c r="B122" s="24">
        <v>250</v>
      </c>
      <c r="C122" s="21" t="s">
        <v>13</v>
      </c>
      <c r="D122" s="11"/>
      <c r="E122" s="36"/>
      <c r="F122" s="36"/>
      <c r="G122" s="36"/>
      <c r="H122" s="13">
        <f t="shared" si="4"/>
        <v>0</v>
      </c>
      <c r="I122" s="12"/>
      <c r="J122" s="14">
        <f t="shared" ref="J122:J183" si="6">H122-I122</f>
        <v>0</v>
      </c>
      <c r="L122" s="34">
        <f t="shared" si="5"/>
        <v>0</v>
      </c>
    </row>
    <row r="123" spans="1:12" ht="15.75" x14ac:dyDescent="0.25">
      <c r="B123" s="20">
        <v>360</v>
      </c>
      <c r="C123" s="21" t="s">
        <v>87</v>
      </c>
      <c r="D123" s="11"/>
      <c r="E123" s="36"/>
      <c r="F123" s="36"/>
      <c r="G123" s="36"/>
      <c r="H123" s="13">
        <f t="shared" si="4"/>
        <v>0</v>
      </c>
      <c r="I123" s="12"/>
      <c r="J123" s="14">
        <f t="shared" si="6"/>
        <v>0</v>
      </c>
      <c r="L123" s="34">
        <f t="shared" si="5"/>
        <v>0</v>
      </c>
    </row>
    <row r="124" spans="1:12" ht="15.75" x14ac:dyDescent="0.25">
      <c r="B124" s="20">
        <v>1000</v>
      </c>
      <c r="C124" s="21" t="s">
        <v>75</v>
      </c>
      <c r="D124" s="11"/>
      <c r="E124" s="36"/>
      <c r="F124" s="36"/>
      <c r="G124" s="36"/>
      <c r="H124" s="13">
        <f t="shared" si="4"/>
        <v>0</v>
      </c>
      <c r="I124" s="12"/>
      <c r="J124" s="14">
        <f t="shared" si="6"/>
        <v>0</v>
      </c>
      <c r="L124" s="34">
        <f t="shared" si="5"/>
        <v>0</v>
      </c>
    </row>
    <row r="125" spans="1:12" ht="15.75" x14ac:dyDescent="0.25">
      <c r="B125" s="20">
        <v>355</v>
      </c>
      <c r="C125" s="21" t="s">
        <v>88</v>
      </c>
      <c r="D125" s="11"/>
      <c r="E125" s="36"/>
      <c r="F125" s="36"/>
      <c r="G125" s="36"/>
      <c r="H125" s="13">
        <f t="shared" si="4"/>
        <v>0</v>
      </c>
      <c r="I125" s="12"/>
      <c r="J125" s="14">
        <f t="shared" si="6"/>
        <v>0</v>
      </c>
      <c r="L125" s="34">
        <f t="shared" si="5"/>
        <v>0</v>
      </c>
    </row>
    <row r="126" spans="1:12" ht="15.75" x14ac:dyDescent="0.25">
      <c r="B126" s="20">
        <v>330</v>
      </c>
      <c r="C126" s="21" t="s">
        <v>89</v>
      </c>
      <c r="D126" s="11"/>
      <c r="E126" s="36"/>
      <c r="F126" s="36"/>
      <c r="G126" s="36"/>
      <c r="H126" s="13">
        <f t="shared" si="4"/>
        <v>0</v>
      </c>
      <c r="I126" s="12"/>
      <c r="J126" s="14">
        <f t="shared" si="6"/>
        <v>0</v>
      </c>
      <c r="L126" s="34">
        <f t="shared" si="5"/>
        <v>0</v>
      </c>
    </row>
    <row r="127" spans="1:12" ht="15.75" x14ac:dyDescent="0.25">
      <c r="B127" s="20">
        <v>330</v>
      </c>
      <c r="C127" s="21" t="s">
        <v>90</v>
      </c>
      <c r="D127" s="11"/>
      <c r="E127" s="36"/>
      <c r="F127" s="36"/>
      <c r="G127" s="36"/>
      <c r="H127" s="13">
        <f t="shared" si="4"/>
        <v>0</v>
      </c>
      <c r="I127" s="12"/>
      <c r="J127" s="14">
        <f t="shared" si="6"/>
        <v>0</v>
      </c>
      <c r="L127" s="34">
        <f t="shared" si="5"/>
        <v>0</v>
      </c>
    </row>
    <row r="128" spans="1:12" ht="15.75" x14ac:dyDescent="0.25">
      <c r="B128" s="20">
        <v>330</v>
      </c>
      <c r="C128" s="21" t="s">
        <v>91</v>
      </c>
      <c r="D128" s="11"/>
      <c r="E128" s="36"/>
      <c r="F128" s="36"/>
      <c r="G128" s="36"/>
      <c r="H128" s="13">
        <f t="shared" si="4"/>
        <v>0</v>
      </c>
      <c r="I128" s="12"/>
      <c r="J128" s="14">
        <f t="shared" si="6"/>
        <v>0</v>
      </c>
      <c r="L128" s="34">
        <f t="shared" si="5"/>
        <v>0</v>
      </c>
    </row>
    <row r="129" spans="1:12" ht="15.75" x14ac:dyDescent="0.25">
      <c r="B129" s="20">
        <v>330</v>
      </c>
      <c r="C129" s="21" t="s">
        <v>92</v>
      </c>
      <c r="D129" s="11"/>
      <c r="E129" s="36"/>
      <c r="F129" s="36"/>
      <c r="G129" s="36"/>
      <c r="H129" s="13">
        <f t="shared" si="4"/>
        <v>0</v>
      </c>
      <c r="I129" s="12"/>
      <c r="J129" s="14">
        <f t="shared" si="6"/>
        <v>0</v>
      </c>
      <c r="L129" s="34">
        <f t="shared" si="5"/>
        <v>0</v>
      </c>
    </row>
    <row r="130" spans="1:12" ht="15.75" x14ac:dyDescent="0.25">
      <c r="B130" s="20">
        <v>330</v>
      </c>
      <c r="C130" s="21" t="s">
        <v>93</v>
      </c>
      <c r="D130" s="11"/>
      <c r="E130" s="36"/>
      <c r="F130" s="36"/>
      <c r="G130" s="36"/>
      <c r="H130" s="13">
        <f t="shared" si="4"/>
        <v>0</v>
      </c>
      <c r="I130" s="12"/>
      <c r="J130" s="14">
        <f t="shared" si="6"/>
        <v>0</v>
      </c>
      <c r="L130" s="34">
        <f t="shared" si="5"/>
        <v>0</v>
      </c>
    </row>
    <row r="131" spans="1:12" ht="15.75" x14ac:dyDescent="0.25">
      <c r="B131" s="20">
        <v>330</v>
      </c>
      <c r="C131" s="21" t="s">
        <v>94</v>
      </c>
      <c r="D131" s="11"/>
      <c r="E131" s="36"/>
      <c r="F131" s="36"/>
      <c r="G131" s="36"/>
      <c r="H131" s="13">
        <f t="shared" ref="H131:H183" si="7">D131+E131+F131+G131</f>
        <v>0</v>
      </c>
      <c r="I131" s="12"/>
      <c r="J131" s="14">
        <f t="shared" si="6"/>
        <v>0</v>
      </c>
      <c r="L131" s="34">
        <f t="shared" ref="L131:L183" si="8">K131-H131</f>
        <v>0</v>
      </c>
    </row>
    <row r="132" spans="1:12" ht="15.75" x14ac:dyDescent="0.25">
      <c r="B132" s="20">
        <v>330</v>
      </c>
      <c r="C132" s="21" t="s">
        <v>95</v>
      </c>
      <c r="D132" s="11"/>
      <c r="E132" s="36"/>
      <c r="F132" s="36"/>
      <c r="G132" s="36"/>
      <c r="H132" s="13">
        <f t="shared" si="7"/>
        <v>0</v>
      </c>
      <c r="I132" s="12"/>
      <c r="J132" s="14">
        <f t="shared" si="6"/>
        <v>0</v>
      </c>
      <c r="L132" s="34">
        <f t="shared" si="8"/>
        <v>0</v>
      </c>
    </row>
    <row r="133" spans="1:12" ht="15.75" x14ac:dyDescent="0.25">
      <c r="B133" s="20">
        <v>330</v>
      </c>
      <c r="C133" s="21" t="s">
        <v>96</v>
      </c>
      <c r="D133" s="11"/>
      <c r="E133" s="36"/>
      <c r="F133" s="36"/>
      <c r="G133" s="36"/>
      <c r="H133" s="13">
        <f t="shared" si="7"/>
        <v>0</v>
      </c>
      <c r="I133" s="12"/>
      <c r="J133" s="14">
        <f t="shared" si="6"/>
        <v>0</v>
      </c>
      <c r="L133" s="34">
        <f t="shared" si="8"/>
        <v>0</v>
      </c>
    </row>
    <row r="134" spans="1:12" ht="15.75" x14ac:dyDescent="0.25">
      <c r="B134" s="20">
        <v>330</v>
      </c>
      <c r="C134" s="21" t="s">
        <v>97</v>
      </c>
      <c r="D134" s="11"/>
      <c r="E134" s="36"/>
      <c r="F134" s="36"/>
      <c r="G134" s="36"/>
      <c r="H134" s="13">
        <f t="shared" si="7"/>
        <v>0</v>
      </c>
      <c r="I134" s="12"/>
      <c r="J134" s="14">
        <f t="shared" si="6"/>
        <v>0</v>
      </c>
      <c r="L134" s="34">
        <f t="shared" si="8"/>
        <v>0</v>
      </c>
    </row>
    <row r="135" spans="1:12" ht="15.75" x14ac:dyDescent="0.25">
      <c r="B135" s="20"/>
      <c r="C135" s="21" t="s">
        <v>98</v>
      </c>
      <c r="D135" s="11"/>
      <c r="E135" s="36"/>
      <c r="F135" s="36"/>
      <c r="G135" s="36"/>
      <c r="H135" s="13">
        <f t="shared" si="7"/>
        <v>0</v>
      </c>
      <c r="I135" s="12"/>
      <c r="J135" s="14">
        <f t="shared" si="6"/>
        <v>0</v>
      </c>
      <c r="L135" s="34">
        <f t="shared" si="8"/>
        <v>0</v>
      </c>
    </row>
    <row r="136" spans="1:12" ht="15.75" x14ac:dyDescent="0.25">
      <c r="B136" s="24">
        <v>473</v>
      </c>
      <c r="C136" s="21" t="s">
        <v>43</v>
      </c>
      <c r="D136" s="11"/>
      <c r="E136" s="36"/>
      <c r="F136" s="36"/>
      <c r="G136" s="36"/>
      <c r="H136" s="13">
        <f t="shared" si="7"/>
        <v>0</v>
      </c>
      <c r="I136" s="12"/>
      <c r="J136" s="14">
        <f t="shared" si="6"/>
        <v>0</v>
      </c>
      <c r="L136" s="34">
        <f t="shared" si="8"/>
        <v>0</v>
      </c>
    </row>
    <row r="137" spans="1:12" ht="15.75" x14ac:dyDescent="0.25">
      <c r="B137" s="24">
        <v>473</v>
      </c>
      <c r="C137" s="21" t="s">
        <v>45</v>
      </c>
      <c r="D137" s="11"/>
      <c r="E137" s="36"/>
      <c r="F137" s="36"/>
      <c r="G137" s="36"/>
      <c r="H137" s="13">
        <f t="shared" si="7"/>
        <v>0</v>
      </c>
      <c r="I137" s="12"/>
      <c r="J137" s="14">
        <f t="shared" si="6"/>
        <v>0</v>
      </c>
      <c r="L137" s="34">
        <f t="shared" si="8"/>
        <v>0</v>
      </c>
    </row>
    <row r="138" spans="1:12" ht="15.75" x14ac:dyDescent="0.25">
      <c r="A138">
        <v>599675</v>
      </c>
      <c r="B138" s="24">
        <v>473</v>
      </c>
      <c r="C138" s="21" t="s">
        <v>99</v>
      </c>
      <c r="D138" s="11"/>
      <c r="E138" s="36"/>
      <c r="F138" s="36"/>
      <c r="G138" s="36"/>
      <c r="H138" s="13">
        <f t="shared" si="7"/>
        <v>0</v>
      </c>
      <c r="I138" s="12"/>
      <c r="J138" s="14">
        <f t="shared" si="6"/>
        <v>0</v>
      </c>
      <c r="L138" s="34">
        <f t="shared" si="8"/>
        <v>0</v>
      </c>
    </row>
    <row r="139" spans="1:12" ht="15.75" x14ac:dyDescent="0.25">
      <c r="B139" s="20">
        <v>473</v>
      </c>
      <c r="C139" s="21" t="s">
        <v>46</v>
      </c>
      <c r="D139" s="11"/>
      <c r="E139" s="36"/>
      <c r="F139" s="36"/>
      <c r="G139" s="36"/>
      <c r="H139" s="13">
        <f t="shared" si="7"/>
        <v>0</v>
      </c>
      <c r="I139" s="12"/>
      <c r="J139" s="14">
        <f t="shared" si="6"/>
        <v>0</v>
      </c>
      <c r="L139" s="34">
        <f t="shared" si="8"/>
        <v>0</v>
      </c>
    </row>
    <row r="140" spans="1:12" ht="15.75" x14ac:dyDescent="0.25">
      <c r="A140">
        <v>522564</v>
      </c>
      <c r="B140" s="20">
        <v>473</v>
      </c>
      <c r="C140" s="21" t="s">
        <v>100</v>
      </c>
      <c r="D140" s="11"/>
      <c r="E140" s="36"/>
      <c r="F140" s="36"/>
      <c r="G140" s="36"/>
      <c r="H140" s="13">
        <f t="shared" si="7"/>
        <v>0</v>
      </c>
      <c r="I140" s="12"/>
      <c r="J140" s="14">
        <f>H140-I140</f>
        <v>0</v>
      </c>
      <c r="L140" s="34">
        <f t="shared" si="8"/>
        <v>0</v>
      </c>
    </row>
    <row r="141" spans="1:12" ht="15.75" x14ac:dyDescent="0.25">
      <c r="B141" s="20">
        <v>625</v>
      </c>
      <c r="C141" s="21" t="s">
        <v>100</v>
      </c>
      <c r="D141" s="11"/>
      <c r="E141" s="36"/>
      <c r="F141" s="36"/>
      <c r="G141" s="36"/>
      <c r="H141" s="13">
        <f t="shared" si="7"/>
        <v>0</v>
      </c>
      <c r="I141" s="12"/>
      <c r="J141" s="14">
        <f t="shared" si="6"/>
        <v>0</v>
      </c>
      <c r="L141" s="34">
        <f t="shared" si="8"/>
        <v>0</v>
      </c>
    </row>
    <row r="142" spans="1:12" ht="15.75" x14ac:dyDescent="0.25">
      <c r="A142" t="s">
        <v>101</v>
      </c>
      <c r="B142" s="20"/>
      <c r="C142" s="21" t="s">
        <v>102</v>
      </c>
      <c r="D142" s="11"/>
      <c r="E142" s="36"/>
      <c r="F142" s="36"/>
      <c r="G142" s="36"/>
      <c r="H142" s="13">
        <f t="shared" si="7"/>
        <v>0</v>
      </c>
      <c r="I142" s="12"/>
      <c r="J142" s="14">
        <f t="shared" si="6"/>
        <v>0</v>
      </c>
      <c r="L142" s="34">
        <f t="shared" si="8"/>
        <v>0</v>
      </c>
    </row>
    <row r="143" spans="1:12" ht="15.75" x14ac:dyDescent="0.25">
      <c r="B143" s="20">
        <v>400</v>
      </c>
      <c r="C143" s="21" t="s">
        <v>103</v>
      </c>
      <c r="D143" s="11"/>
      <c r="E143" s="36"/>
      <c r="F143" s="36"/>
      <c r="G143" s="36"/>
      <c r="H143" s="13">
        <f t="shared" si="7"/>
        <v>0</v>
      </c>
      <c r="I143" s="12"/>
      <c r="J143" s="14">
        <f t="shared" si="6"/>
        <v>0</v>
      </c>
      <c r="L143" s="34">
        <f t="shared" si="8"/>
        <v>0</v>
      </c>
    </row>
    <row r="144" spans="1:12" ht="15.75" x14ac:dyDescent="0.25">
      <c r="B144" s="20">
        <v>300</v>
      </c>
      <c r="C144" s="21" t="s">
        <v>43</v>
      </c>
      <c r="D144" s="11"/>
      <c r="E144" s="36"/>
      <c r="F144" s="36"/>
      <c r="G144" s="36"/>
      <c r="H144" s="13">
        <f t="shared" si="7"/>
        <v>0</v>
      </c>
      <c r="I144" s="12"/>
      <c r="J144" s="14">
        <f t="shared" si="6"/>
        <v>0</v>
      </c>
      <c r="L144" s="34">
        <f t="shared" si="8"/>
        <v>0</v>
      </c>
    </row>
    <row r="145" spans="1:12" ht="15.75" x14ac:dyDescent="0.25">
      <c r="B145" s="20">
        <v>300</v>
      </c>
      <c r="C145" s="21" t="s">
        <v>45</v>
      </c>
      <c r="D145" s="11"/>
      <c r="E145" s="36"/>
      <c r="F145" s="36"/>
      <c r="G145" s="36"/>
      <c r="H145" s="13">
        <f t="shared" si="7"/>
        <v>0</v>
      </c>
      <c r="I145" s="12"/>
      <c r="J145" s="14">
        <f t="shared" si="6"/>
        <v>0</v>
      </c>
      <c r="L145" s="34">
        <f t="shared" si="8"/>
        <v>0</v>
      </c>
    </row>
    <row r="146" spans="1:12" ht="15.75" x14ac:dyDescent="0.25">
      <c r="B146" s="20">
        <v>300</v>
      </c>
      <c r="C146" s="21" t="s">
        <v>44</v>
      </c>
      <c r="D146" s="11"/>
      <c r="E146" s="36"/>
      <c r="F146" s="36"/>
      <c r="G146" s="36"/>
      <c r="H146" s="13">
        <f t="shared" si="7"/>
        <v>0</v>
      </c>
      <c r="I146" s="12"/>
      <c r="J146" s="14">
        <f t="shared" si="6"/>
        <v>0</v>
      </c>
      <c r="L146" s="34">
        <f t="shared" si="8"/>
        <v>0</v>
      </c>
    </row>
    <row r="147" spans="1:12" ht="15.75" x14ac:dyDescent="0.25">
      <c r="B147" s="20">
        <v>1090</v>
      </c>
      <c r="C147" s="21" t="s">
        <v>11</v>
      </c>
      <c r="D147" s="11"/>
      <c r="E147" s="36"/>
      <c r="F147" s="36"/>
      <c r="G147" s="36"/>
      <c r="H147" s="13">
        <f t="shared" si="7"/>
        <v>0</v>
      </c>
      <c r="I147" s="12"/>
      <c r="J147" s="14">
        <f t="shared" si="6"/>
        <v>0</v>
      </c>
      <c r="L147" s="34">
        <f t="shared" si="8"/>
        <v>0</v>
      </c>
    </row>
    <row r="148" spans="1:12" ht="15.75" x14ac:dyDescent="0.25">
      <c r="B148" s="20">
        <v>2600</v>
      </c>
      <c r="C148" s="21" t="s">
        <v>11</v>
      </c>
      <c r="D148" s="11"/>
      <c r="E148" s="36"/>
      <c r="F148" s="36"/>
      <c r="G148" s="36"/>
      <c r="H148" s="13">
        <f t="shared" si="7"/>
        <v>0</v>
      </c>
      <c r="I148" s="12"/>
      <c r="J148" s="14">
        <f t="shared" si="6"/>
        <v>0</v>
      </c>
      <c r="L148" s="34">
        <f t="shared" si="8"/>
        <v>0</v>
      </c>
    </row>
    <row r="149" spans="1:12" ht="15.75" x14ac:dyDescent="0.25">
      <c r="B149" s="20">
        <v>250</v>
      </c>
      <c r="C149" s="21" t="s">
        <v>104</v>
      </c>
      <c r="D149" s="11"/>
      <c r="E149" s="36"/>
      <c r="F149" s="36"/>
      <c r="G149" s="36"/>
      <c r="H149" s="13">
        <f t="shared" si="7"/>
        <v>0</v>
      </c>
      <c r="I149" s="12"/>
      <c r="J149" s="14">
        <f t="shared" si="6"/>
        <v>0</v>
      </c>
      <c r="L149" s="34">
        <f t="shared" si="8"/>
        <v>0</v>
      </c>
    </row>
    <row r="150" spans="1:12" ht="15.75" x14ac:dyDescent="0.25">
      <c r="B150" s="20"/>
      <c r="C150" s="21" t="s">
        <v>105</v>
      </c>
      <c r="D150" s="11"/>
      <c r="E150" s="36"/>
      <c r="F150" s="36"/>
      <c r="G150" s="36"/>
      <c r="H150" s="13">
        <f t="shared" si="7"/>
        <v>0</v>
      </c>
      <c r="I150" s="12"/>
      <c r="J150" s="14">
        <f t="shared" si="6"/>
        <v>0</v>
      </c>
      <c r="L150" s="34">
        <f t="shared" si="8"/>
        <v>0</v>
      </c>
    </row>
    <row r="151" spans="1:12" ht="15.75" x14ac:dyDescent="0.25">
      <c r="B151" s="20"/>
      <c r="C151" s="21" t="s">
        <v>16</v>
      </c>
      <c r="D151" s="11"/>
      <c r="E151" s="36"/>
      <c r="F151" s="36"/>
      <c r="G151" s="36"/>
      <c r="H151" s="13">
        <f t="shared" si="7"/>
        <v>0</v>
      </c>
      <c r="I151" s="12"/>
      <c r="J151" s="14">
        <f t="shared" si="6"/>
        <v>0</v>
      </c>
      <c r="L151" s="34">
        <f t="shared" si="8"/>
        <v>0</v>
      </c>
    </row>
    <row r="152" spans="1:12" ht="15.75" x14ac:dyDescent="0.25">
      <c r="B152" s="20"/>
      <c r="C152" s="21" t="s">
        <v>106</v>
      </c>
      <c r="D152" s="11"/>
      <c r="E152" s="36"/>
      <c r="F152" s="36"/>
      <c r="G152" s="36"/>
      <c r="H152" s="13">
        <f t="shared" si="7"/>
        <v>0</v>
      </c>
      <c r="I152" s="12"/>
      <c r="J152" s="14">
        <f t="shared" si="6"/>
        <v>0</v>
      </c>
      <c r="L152" s="34">
        <f t="shared" si="8"/>
        <v>0</v>
      </c>
    </row>
    <row r="153" spans="1:12" ht="15.75" x14ac:dyDescent="0.25">
      <c r="B153" s="20"/>
      <c r="C153" s="21" t="s">
        <v>107</v>
      </c>
      <c r="D153" s="11"/>
      <c r="E153" s="36"/>
      <c r="F153" s="36"/>
      <c r="G153" s="36"/>
      <c r="H153" s="13">
        <f t="shared" si="7"/>
        <v>0</v>
      </c>
      <c r="I153" s="12"/>
      <c r="J153" s="14">
        <f t="shared" si="6"/>
        <v>0</v>
      </c>
      <c r="L153" s="34">
        <f t="shared" si="8"/>
        <v>0</v>
      </c>
    </row>
    <row r="154" spans="1:12" ht="15.75" x14ac:dyDescent="0.25">
      <c r="B154" s="20"/>
      <c r="C154" s="21" t="s">
        <v>108</v>
      </c>
      <c r="D154" s="11"/>
      <c r="E154" s="36"/>
      <c r="F154" s="36"/>
      <c r="G154" s="36"/>
      <c r="H154" s="13">
        <f t="shared" si="7"/>
        <v>0</v>
      </c>
      <c r="I154" s="12"/>
      <c r="J154" s="14">
        <f t="shared" si="6"/>
        <v>0</v>
      </c>
      <c r="L154" s="34">
        <f t="shared" si="8"/>
        <v>0</v>
      </c>
    </row>
    <row r="155" spans="1:12" ht="15.75" x14ac:dyDescent="0.25">
      <c r="A155">
        <v>699952</v>
      </c>
      <c r="B155" s="20"/>
      <c r="C155" s="21" t="s">
        <v>109</v>
      </c>
      <c r="D155" s="11"/>
      <c r="E155" s="36"/>
      <c r="F155" s="36"/>
      <c r="G155" s="36"/>
      <c r="H155" s="13">
        <f t="shared" si="7"/>
        <v>0</v>
      </c>
      <c r="I155" s="12"/>
      <c r="J155" s="14">
        <f t="shared" si="6"/>
        <v>0</v>
      </c>
      <c r="L155" s="34">
        <f t="shared" si="8"/>
        <v>0</v>
      </c>
    </row>
    <row r="156" spans="1:12" ht="15.75" x14ac:dyDescent="0.25">
      <c r="A156">
        <v>501020</v>
      </c>
      <c r="B156" s="24">
        <v>360</v>
      </c>
      <c r="C156" s="21" t="s">
        <v>110</v>
      </c>
      <c r="D156" s="11"/>
      <c r="E156" s="36"/>
      <c r="F156" s="36"/>
      <c r="G156" s="36"/>
      <c r="H156" s="13">
        <f t="shared" si="7"/>
        <v>0</v>
      </c>
      <c r="I156" s="12"/>
      <c r="J156" s="14">
        <f t="shared" si="6"/>
        <v>0</v>
      </c>
      <c r="L156" s="34">
        <f t="shared" si="8"/>
        <v>0</v>
      </c>
    </row>
    <row r="157" spans="1:12" ht="15.75" x14ac:dyDescent="0.25">
      <c r="A157">
        <v>501505</v>
      </c>
      <c r="B157" s="24">
        <v>360</v>
      </c>
      <c r="C157" s="21" t="s">
        <v>17</v>
      </c>
      <c r="D157" s="11"/>
      <c r="E157" s="36"/>
      <c r="F157" s="36"/>
      <c r="G157" s="36"/>
      <c r="H157" s="13">
        <f t="shared" si="7"/>
        <v>0</v>
      </c>
      <c r="I157" s="12"/>
      <c r="J157" s="14">
        <f t="shared" si="6"/>
        <v>0</v>
      </c>
      <c r="L157" s="34">
        <f t="shared" si="8"/>
        <v>0</v>
      </c>
    </row>
    <row r="158" spans="1:12" ht="15.75" x14ac:dyDescent="0.25">
      <c r="B158" s="20">
        <v>250</v>
      </c>
      <c r="C158" s="21" t="s">
        <v>111</v>
      </c>
      <c r="D158" s="11"/>
      <c r="E158" s="36"/>
      <c r="F158" s="36"/>
      <c r="G158" s="36"/>
      <c r="H158" s="13">
        <f t="shared" si="7"/>
        <v>0</v>
      </c>
      <c r="I158" s="12"/>
      <c r="J158" s="14">
        <f t="shared" si="6"/>
        <v>0</v>
      </c>
      <c r="L158" s="34">
        <f t="shared" si="8"/>
        <v>0</v>
      </c>
    </row>
    <row r="159" spans="1:12" ht="15.75" x14ac:dyDescent="0.25">
      <c r="B159" s="20">
        <v>250</v>
      </c>
      <c r="C159" s="21" t="s">
        <v>112</v>
      </c>
      <c r="D159" s="11"/>
      <c r="E159" s="36"/>
      <c r="F159" s="36"/>
      <c r="G159" s="36"/>
      <c r="H159" s="13">
        <f t="shared" si="7"/>
        <v>0</v>
      </c>
      <c r="I159" s="12"/>
      <c r="J159" s="14">
        <f t="shared" si="6"/>
        <v>0</v>
      </c>
      <c r="L159" s="34">
        <f t="shared" si="8"/>
        <v>0</v>
      </c>
    </row>
    <row r="160" spans="1:12" ht="15.75" x14ac:dyDescent="0.25">
      <c r="A160">
        <v>501207</v>
      </c>
      <c r="B160" s="20">
        <v>360</v>
      </c>
      <c r="C160" s="21" t="s">
        <v>113</v>
      </c>
      <c r="D160" s="11"/>
      <c r="E160" s="36"/>
      <c r="F160" s="36"/>
      <c r="G160" s="36"/>
      <c r="H160" s="13">
        <f t="shared" si="7"/>
        <v>0</v>
      </c>
      <c r="I160" s="12"/>
      <c r="J160" s="14">
        <f t="shared" si="6"/>
        <v>0</v>
      </c>
      <c r="L160" s="34">
        <f t="shared" si="8"/>
        <v>0</v>
      </c>
    </row>
    <row r="161" spans="1:12" ht="15.75" x14ac:dyDescent="0.25">
      <c r="A161">
        <v>599858</v>
      </c>
      <c r="B161" s="22"/>
      <c r="C161" s="23" t="s">
        <v>114</v>
      </c>
      <c r="D161" s="11"/>
      <c r="E161" s="36"/>
      <c r="F161" s="36"/>
      <c r="G161" s="36"/>
      <c r="H161" s="13">
        <f t="shared" si="7"/>
        <v>0</v>
      </c>
      <c r="I161" s="12"/>
      <c r="J161" s="14">
        <f t="shared" si="6"/>
        <v>0</v>
      </c>
      <c r="L161" s="34">
        <f t="shared" si="8"/>
        <v>0</v>
      </c>
    </row>
    <row r="162" spans="1:12" ht="15.75" x14ac:dyDescent="0.25">
      <c r="A162">
        <v>599857</v>
      </c>
      <c r="B162" s="22"/>
      <c r="C162" s="23" t="s">
        <v>115</v>
      </c>
      <c r="D162" s="11"/>
      <c r="E162" s="36"/>
      <c r="F162" s="36"/>
      <c r="G162" s="36"/>
      <c r="H162" s="13">
        <f t="shared" si="7"/>
        <v>0</v>
      </c>
      <c r="I162" s="12"/>
      <c r="J162" s="14">
        <f t="shared" si="6"/>
        <v>0</v>
      </c>
      <c r="L162" s="34">
        <f t="shared" si="8"/>
        <v>0</v>
      </c>
    </row>
    <row r="163" spans="1:12" ht="15.75" x14ac:dyDescent="0.25">
      <c r="A163">
        <v>621972</v>
      </c>
      <c r="B163" s="20"/>
      <c r="C163" s="21" t="s">
        <v>116</v>
      </c>
      <c r="D163" s="11"/>
      <c r="E163" s="36"/>
      <c r="F163" s="36"/>
      <c r="G163" s="36"/>
      <c r="H163" s="13">
        <f t="shared" si="7"/>
        <v>0</v>
      </c>
      <c r="I163" s="12"/>
      <c r="J163" s="14">
        <f t="shared" si="6"/>
        <v>0</v>
      </c>
      <c r="L163" s="34">
        <f t="shared" si="8"/>
        <v>0</v>
      </c>
    </row>
    <row r="164" spans="1:12" ht="15.75" x14ac:dyDescent="0.25">
      <c r="A164">
        <v>622165</v>
      </c>
      <c r="B164" s="20"/>
      <c r="C164" s="21" t="s">
        <v>117</v>
      </c>
      <c r="D164" s="11"/>
      <c r="E164" s="36"/>
      <c r="F164" s="36"/>
      <c r="G164" s="36"/>
      <c r="H164" s="13">
        <f t="shared" si="7"/>
        <v>0</v>
      </c>
      <c r="I164" s="12"/>
      <c r="J164" s="14">
        <f t="shared" si="6"/>
        <v>0</v>
      </c>
      <c r="L164" s="34">
        <f t="shared" si="8"/>
        <v>0</v>
      </c>
    </row>
    <row r="165" spans="1:12" ht="15.75" x14ac:dyDescent="0.25">
      <c r="B165" s="20">
        <v>300</v>
      </c>
      <c r="C165" s="21" t="s">
        <v>104</v>
      </c>
      <c r="D165" s="11"/>
      <c r="E165" s="36"/>
      <c r="F165" s="36"/>
      <c r="G165" s="36"/>
      <c r="H165" s="13">
        <f t="shared" si="7"/>
        <v>0</v>
      </c>
      <c r="I165" s="12"/>
      <c r="J165" s="14">
        <f t="shared" si="6"/>
        <v>0</v>
      </c>
      <c r="L165" s="34">
        <f t="shared" si="8"/>
        <v>0</v>
      </c>
    </row>
    <row r="166" spans="1:12" ht="15.75" x14ac:dyDescent="0.25">
      <c r="A166">
        <v>622164</v>
      </c>
      <c r="B166" s="20"/>
      <c r="C166" s="21" t="s">
        <v>118</v>
      </c>
      <c r="D166" s="11"/>
      <c r="E166" s="36"/>
      <c r="F166" s="36"/>
      <c r="G166" s="36"/>
      <c r="H166" s="13">
        <f t="shared" si="7"/>
        <v>0</v>
      </c>
      <c r="I166" s="12"/>
      <c r="J166" s="14">
        <f t="shared" si="6"/>
        <v>0</v>
      </c>
      <c r="L166" s="34">
        <f t="shared" si="8"/>
        <v>0</v>
      </c>
    </row>
    <row r="167" spans="1:12" ht="15.75" x14ac:dyDescent="0.25">
      <c r="A167">
        <v>621967</v>
      </c>
      <c r="B167" s="20"/>
      <c r="C167" s="21" t="s">
        <v>118</v>
      </c>
      <c r="D167" s="11"/>
      <c r="E167" s="36"/>
      <c r="F167" s="36"/>
      <c r="G167" s="36"/>
      <c r="H167" s="13">
        <f t="shared" si="7"/>
        <v>0</v>
      </c>
      <c r="I167" s="12"/>
      <c r="J167" s="14">
        <f t="shared" si="6"/>
        <v>0</v>
      </c>
      <c r="L167" s="34">
        <f t="shared" si="8"/>
        <v>0</v>
      </c>
    </row>
    <row r="168" spans="1:12" ht="15.75" x14ac:dyDescent="0.25">
      <c r="A168">
        <v>500032</v>
      </c>
      <c r="B168" s="24">
        <v>360</v>
      </c>
      <c r="C168" s="21" t="s">
        <v>104</v>
      </c>
      <c r="D168" s="11"/>
      <c r="E168" s="36"/>
      <c r="F168" s="36"/>
      <c r="G168" s="36"/>
      <c r="H168" s="13">
        <f t="shared" si="7"/>
        <v>0</v>
      </c>
      <c r="I168" s="12"/>
      <c r="J168" s="14">
        <f t="shared" si="6"/>
        <v>0</v>
      </c>
      <c r="L168" s="34">
        <f t="shared" si="8"/>
        <v>0</v>
      </c>
    </row>
    <row r="169" spans="1:12" ht="15.75" x14ac:dyDescent="0.25">
      <c r="A169">
        <v>522459</v>
      </c>
      <c r="B169" s="24">
        <v>360</v>
      </c>
      <c r="C169" s="21" t="s">
        <v>119</v>
      </c>
      <c r="D169" s="11"/>
      <c r="E169" s="36"/>
      <c r="F169" s="36"/>
      <c r="G169" s="36"/>
      <c r="H169" s="13">
        <f t="shared" si="7"/>
        <v>0</v>
      </c>
      <c r="I169" s="12"/>
      <c r="J169" s="14">
        <f t="shared" si="6"/>
        <v>0</v>
      </c>
      <c r="L169" s="34">
        <f t="shared" si="8"/>
        <v>0</v>
      </c>
    </row>
    <row r="170" spans="1:12" ht="15.75" x14ac:dyDescent="0.25">
      <c r="A170">
        <v>522451</v>
      </c>
      <c r="B170" s="24">
        <v>360</v>
      </c>
      <c r="C170" s="21" t="s">
        <v>120</v>
      </c>
      <c r="D170" s="11"/>
      <c r="E170" s="36"/>
      <c r="F170" s="36"/>
      <c r="G170" s="36"/>
      <c r="H170" s="13">
        <f t="shared" si="7"/>
        <v>0</v>
      </c>
      <c r="I170" s="12"/>
      <c r="J170" s="14">
        <f t="shared" si="6"/>
        <v>0</v>
      </c>
      <c r="L170" s="34">
        <f t="shared" si="8"/>
        <v>0</v>
      </c>
    </row>
    <row r="171" spans="1:12" ht="15.75" x14ac:dyDescent="0.25">
      <c r="A171">
        <v>522450</v>
      </c>
      <c r="B171" s="24">
        <v>360</v>
      </c>
      <c r="C171" s="21" t="s">
        <v>121</v>
      </c>
      <c r="D171" s="11"/>
      <c r="E171" s="36"/>
      <c r="F171" s="36"/>
      <c r="G171" s="36"/>
      <c r="H171" s="13">
        <f t="shared" si="7"/>
        <v>0</v>
      </c>
      <c r="I171" s="12"/>
      <c r="J171" s="14">
        <f t="shared" si="6"/>
        <v>0</v>
      </c>
      <c r="L171" s="34">
        <f t="shared" si="8"/>
        <v>0</v>
      </c>
    </row>
    <row r="172" spans="1:12" ht="15.75" x14ac:dyDescent="0.25">
      <c r="A172">
        <v>522461</v>
      </c>
      <c r="B172" s="20">
        <v>360</v>
      </c>
      <c r="C172" s="21" t="s">
        <v>122</v>
      </c>
      <c r="D172" s="11"/>
      <c r="E172" s="36"/>
      <c r="F172" s="36"/>
      <c r="G172" s="36"/>
      <c r="H172" s="13">
        <f t="shared" si="7"/>
        <v>0</v>
      </c>
      <c r="I172" s="12"/>
      <c r="J172" s="14">
        <f t="shared" si="6"/>
        <v>0</v>
      </c>
      <c r="L172" s="34">
        <f t="shared" si="8"/>
        <v>0</v>
      </c>
    </row>
    <row r="173" spans="1:12" ht="15.75" x14ac:dyDescent="0.25">
      <c r="A173">
        <v>522463</v>
      </c>
      <c r="B173" s="20">
        <v>360</v>
      </c>
      <c r="C173" s="21" t="s">
        <v>123</v>
      </c>
      <c r="D173" s="11"/>
      <c r="E173" s="36"/>
      <c r="F173" s="36"/>
      <c r="G173" s="36"/>
      <c r="H173" s="13">
        <f t="shared" si="7"/>
        <v>0</v>
      </c>
      <c r="I173" s="12"/>
      <c r="J173" s="14">
        <f t="shared" si="6"/>
        <v>0</v>
      </c>
      <c r="L173" s="34">
        <f t="shared" si="8"/>
        <v>0</v>
      </c>
    </row>
    <row r="174" spans="1:12" ht="15.75" x14ac:dyDescent="0.25">
      <c r="A174">
        <v>522462</v>
      </c>
      <c r="B174" s="22">
        <v>360</v>
      </c>
      <c r="C174" s="23" t="s">
        <v>124</v>
      </c>
      <c r="D174" s="11"/>
      <c r="E174" s="36"/>
      <c r="F174" s="36"/>
      <c r="G174" s="36"/>
      <c r="H174" s="13">
        <f t="shared" si="7"/>
        <v>0</v>
      </c>
      <c r="I174" s="12"/>
      <c r="J174" s="14">
        <f t="shared" si="6"/>
        <v>0</v>
      </c>
      <c r="L174" s="34">
        <f t="shared" si="8"/>
        <v>0</v>
      </c>
    </row>
    <row r="175" spans="1:12" ht="15.75" x14ac:dyDescent="0.25">
      <c r="A175">
        <v>522460</v>
      </c>
      <c r="B175" s="22">
        <v>360</v>
      </c>
      <c r="C175" s="23" t="s">
        <v>125</v>
      </c>
      <c r="D175" s="11"/>
      <c r="E175" s="36"/>
      <c r="F175" s="36"/>
      <c r="G175" s="36"/>
      <c r="H175" s="13">
        <f t="shared" si="7"/>
        <v>0</v>
      </c>
      <c r="I175" s="12"/>
      <c r="J175" s="14">
        <f t="shared" si="6"/>
        <v>0</v>
      </c>
      <c r="L175" s="34">
        <f t="shared" si="8"/>
        <v>0</v>
      </c>
    </row>
    <row r="176" spans="1:12" ht="15.75" x14ac:dyDescent="0.25">
      <c r="A176">
        <v>522921</v>
      </c>
      <c r="B176" s="20">
        <v>600</v>
      </c>
      <c r="C176" s="21" t="s">
        <v>126</v>
      </c>
      <c r="D176" s="11"/>
      <c r="E176" s="36"/>
      <c r="F176" s="36"/>
      <c r="G176" s="36"/>
      <c r="H176" s="13">
        <f t="shared" si="7"/>
        <v>0</v>
      </c>
      <c r="I176" s="12"/>
      <c r="J176" s="14">
        <f t="shared" si="6"/>
        <v>0</v>
      </c>
      <c r="L176" s="34">
        <f t="shared" si="8"/>
        <v>0</v>
      </c>
    </row>
    <row r="177" spans="1:12" ht="15.75" x14ac:dyDescent="0.25">
      <c r="A177">
        <v>522906</v>
      </c>
      <c r="B177" s="24">
        <v>600</v>
      </c>
      <c r="C177" s="21" t="s">
        <v>121</v>
      </c>
      <c r="D177" s="11"/>
      <c r="E177" s="36"/>
      <c r="F177" s="36"/>
      <c r="G177" s="36"/>
      <c r="H177" s="13">
        <f t="shared" si="7"/>
        <v>0</v>
      </c>
      <c r="I177" s="12"/>
      <c r="J177" s="14">
        <f t="shared" si="6"/>
        <v>0</v>
      </c>
      <c r="L177" s="34">
        <f t="shared" si="8"/>
        <v>0</v>
      </c>
    </row>
    <row r="178" spans="1:12" ht="15.75" x14ac:dyDescent="0.25">
      <c r="A178">
        <v>522907</v>
      </c>
      <c r="B178" s="24">
        <v>600</v>
      </c>
      <c r="C178" s="21" t="s">
        <v>120</v>
      </c>
      <c r="D178" s="11"/>
      <c r="E178" s="36"/>
      <c r="F178" s="36"/>
      <c r="G178" s="36"/>
      <c r="H178" s="13">
        <f t="shared" si="7"/>
        <v>0</v>
      </c>
      <c r="I178" s="12"/>
      <c r="J178" s="14">
        <f t="shared" si="6"/>
        <v>0</v>
      </c>
      <c r="L178" s="34">
        <f t="shared" si="8"/>
        <v>0</v>
      </c>
    </row>
    <row r="179" spans="1:12" ht="15.75" x14ac:dyDescent="0.25">
      <c r="A179">
        <v>522499</v>
      </c>
      <c r="B179" s="20">
        <v>625</v>
      </c>
      <c r="C179" s="21" t="s">
        <v>14</v>
      </c>
      <c r="D179" s="11"/>
      <c r="E179" s="36"/>
      <c r="F179" s="36"/>
      <c r="G179" s="36"/>
      <c r="H179" s="13">
        <f t="shared" si="7"/>
        <v>0</v>
      </c>
      <c r="I179" s="12"/>
      <c r="J179" s="14">
        <f t="shared" si="6"/>
        <v>0</v>
      </c>
      <c r="L179" s="34">
        <f t="shared" si="8"/>
        <v>0</v>
      </c>
    </row>
    <row r="180" spans="1:12" ht="15.75" x14ac:dyDescent="0.25">
      <c r="A180">
        <v>522496</v>
      </c>
      <c r="B180" s="20">
        <v>625</v>
      </c>
      <c r="C180" s="21" t="s">
        <v>127</v>
      </c>
      <c r="D180" s="11"/>
      <c r="E180" s="36"/>
      <c r="F180" s="36"/>
      <c r="G180" s="36"/>
      <c r="H180" s="13">
        <f t="shared" si="7"/>
        <v>0</v>
      </c>
      <c r="I180" s="12"/>
      <c r="J180" s="14">
        <f t="shared" si="6"/>
        <v>0</v>
      </c>
      <c r="L180" s="34">
        <f t="shared" si="8"/>
        <v>0</v>
      </c>
    </row>
    <row r="181" spans="1:12" ht="15.75" x14ac:dyDescent="0.25">
      <c r="A181">
        <v>522498</v>
      </c>
      <c r="B181" s="20">
        <v>625</v>
      </c>
      <c r="C181" s="21" t="s">
        <v>128</v>
      </c>
      <c r="D181" s="11"/>
      <c r="E181" s="36"/>
      <c r="F181" s="36"/>
      <c r="G181" s="36"/>
      <c r="H181" s="13">
        <f t="shared" si="7"/>
        <v>0</v>
      </c>
      <c r="I181" s="12"/>
      <c r="J181" s="14">
        <f t="shared" si="6"/>
        <v>0</v>
      </c>
      <c r="L181" s="34">
        <f t="shared" si="8"/>
        <v>0</v>
      </c>
    </row>
    <row r="182" spans="1:12" ht="15.75" x14ac:dyDescent="0.25">
      <c r="A182">
        <v>522497</v>
      </c>
      <c r="B182" s="20">
        <v>625</v>
      </c>
      <c r="C182" s="21" t="s">
        <v>129</v>
      </c>
      <c r="D182" s="11"/>
      <c r="E182" s="36"/>
      <c r="F182" s="36"/>
      <c r="G182" s="36"/>
      <c r="H182" s="13">
        <f t="shared" si="7"/>
        <v>0</v>
      </c>
      <c r="I182" s="12"/>
      <c r="J182" s="14">
        <f t="shared" si="6"/>
        <v>0</v>
      </c>
      <c r="L182" s="34">
        <f t="shared" si="8"/>
        <v>0</v>
      </c>
    </row>
    <row r="183" spans="1:12" ht="15.75" x14ac:dyDescent="0.25">
      <c r="A183">
        <v>523188</v>
      </c>
      <c r="B183" s="20"/>
      <c r="C183" s="21" t="s">
        <v>130</v>
      </c>
      <c r="D183" s="11"/>
      <c r="E183" s="36"/>
      <c r="F183" s="36"/>
      <c r="G183" s="36"/>
      <c r="H183" s="13">
        <f t="shared" si="7"/>
        <v>0</v>
      </c>
      <c r="I183" s="12"/>
      <c r="J183" s="14">
        <f t="shared" si="6"/>
        <v>0</v>
      </c>
      <c r="L183" s="34">
        <f t="shared" si="8"/>
        <v>0</v>
      </c>
    </row>
    <row r="184" spans="1:12" ht="16.5" thickBot="1" x14ac:dyDescent="0.3">
      <c r="B184" s="25"/>
      <c r="C184" s="26"/>
      <c r="D184" s="27"/>
      <c r="E184" s="28"/>
      <c r="F184" s="29"/>
      <c r="G184" s="28"/>
      <c r="H184" s="30"/>
      <c r="I184" s="28"/>
      <c r="J184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workbookViewId="0">
      <pane xSplit="3" ySplit="1" topLeftCell="D110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7.5703125" bestFit="1" customWidth="1"/>
    <col min="5" max="5" width="8.140625" bestFit="1" customWidth="1"/>
    <col min="6" max="6" width="8.140625" style="33" bestFit="1" customWidth="1"/>
    <col min="7" max="7" width="8.5703125" bestFit="1" customWidth="1"/>
    <col min="8" max="8" width="5.42578125" style="34" bestFit="1" customWidth="1"/>
    <col min="9" max="9" width="8" bestFit="1" customWidth="1"/>
    <col min="10" max="10" width="11.28515625" customWidth="1"/>
    <col min="11" max="11" width="8.7109375" customWidth="1"/>
    <col min="12" max="12" width="5.7109375" style="34" customWidth="1"/>
    <col min="13" max="13" width="5.7109375" customWidth="1"/>
  </cols>
  <sheetData>
    <row r="1" spans="1:12" ht="32.25" thickBot="1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35"/>
    </row>
    <row r="2" spans="1:12" ht="15.75" x14ac:dyDescent="0.25">
      <c r="B2" s="9">
        <v>3300</v>
      </c>
      <c r="C2" s="10" t="s">
        <v>11</v>
      </c>
      <c r="D2" s="11"/>
      <c r="E2" s="36"/>
      <c r="F2" s="36"/>
      <c r="G2" s="36"/>
      <c r="H2" s="13">
        <f>D2+E2+F2+G2</f>
        <v>0</v>
      </c>
      <c r="I2" s="12"/>
      <c r="J2" s="14">
        <f>H2-I2</f>
        <v>0</v>
      </c>
      <c r="L2" s="34">
        <f>K2-H2</f>
        <v>0</v>
      </c>
    </row>
    <row r="3" spans="1:12" ht="15.75" x14ac:dyDescent="0.25">
      <c r="B3" s="9">
        <v>3.5</v>
      </c>
      <c r="C3" s="10" t="s">
        <v>12</v>
      </c>
      <c r="D3" s="11"/>
      <c r="E3" s="36"/>
      <c r="F3" s="36"/>
      <c r="G3" s="36"/>
      <c r="H3" s="13">
        <f t="shared" ref="H3:H66" si="0">D3+E3+F3+G3</f>
        <v>0</v>
      </c>
      <c r="I3" s="12"/>
      <c r="J3" s="14">
        <f t="shared" ref="J3:J55" si="1">H3-I3</f>
        <v>0</v>
      </c>
      <c r="L3" s="34">
        <f t="shared" ref="L3:L66" si="2">K3-H3</f>
        <v>0</v>
      </c>
    </row>
    <row r="4" spans="1:12" ht="15.75" x14ac:dyDescent="0.25">
      <c r="A4">
        <v>511908</v>
      </c>
      <c r="B4" s="9">
        <v>3030</v>
      </c>
      <c r="C4" s="10" t="s">
        <v>12</v>
      </c>
      <c r="D4" s="11">
        <v>4</v>
      </c>
      <c r="E4" s="36">
        <v>1</v>
      </c>
      <c r="F4" s="36">
        <v>2</v>
      </c>
      <c r="G4" s="36">
        <v>5</v>
      </c>
      <c r="H4" s="13">
        <f t="shared" si="0"/>
        <v>12</v>
      </c>
      <c r="I4" s="12"/>
      <c r="J4" s="14">
        <f t="shared" si="1"/>
        <v>12</v>
      </c>
      <c r="K4">
        <v>12</v>
      </c>
      <c r="L4" s="34">
        <f t="shared" si="2"/>
        <v>0</v>
      </c>
    </row>
    <row r="5" spans="1:12" ht="15.75" x14ac:dyDescent="0.25">
      <c r="A5">
        <v>509671</v>
      </c>
      <c r="B5" s="9">
        <v>3030</v>
      </c>
      <c r="C5" s="10" t="s">
        <v>13</v>
      </c>
      <c r="D5" s="11">
        <v>36</v>
      </c>
      <c r="E5" s="36">
        <v>2</v>
      </c>
      <c r="F5" s="36">
        <v>9</v>
      </c>
      <c r="G5" s="36">
        <v>4</v>
      </c>
      <c r="H5" s="13">
        <f t="shared" si="0"/>
        <v>51</v>
      </c>
      <c r="I5" s="12"/>
      <c r="J5" s="14">
        <f t="shared" si="1"/>
        <v>51</v>
      </c>
      <c r="K5">
        <v>51</v>
      </c>
      <c r="L5" s="34">
        <f t="shared" si="2"/>
        <v>0</v>
      </c>
    </row>
    <row r="6" spans="1:12" ht="15.75" x14ac:dyDescent="0.25">
      <c r="A6">
        <v>500179</v>
      </c>
      <c r="B6" s="9">
        <v>3030</v>
      </c>
      <c r="C6" s="10" t="s">
        <v>11</v>
      </c>
      <c r="D6" s="11">
        <v>40</v>
      </c>
      <c r="E6" s="36">
        <v>5</v>
      </c>
      <c r="F6" s="36">
        <v>23</v>
      </c>
      <c r="G6" s="36">
        <v>15</v>
      </c>
      <c r="H6" s="13">
        <f t="shared" si="0"/>
        <v>83</v>
      </c>
      <c r="I6" s="12"/>
      <c r="J6" s="14">
        <f t="shared" si="1"/>
        <v>83</v>
      </c>
      <c r="K6">
        <v>83</v>
      </c>
      <c r="L6" s="34">
        <f t="shared" si="2"/>
        <v>0</v>
      </c>
    </row>
    <row r="7" spans="1:12" ht="15.75" x14ac:dyDescent="0.25">
      <c r="A7">
        <v>501109</v>
      </c>
      <c r="B7" s="9">
        <v>3030</v>
      </c>
      <c r="C7" s="10" t="s">
        <v>14</v>
      </c>
      <c r="D7" s="11">
        <v>21</v>
      </c>
      <c r="E7" s="36">
        <v>1</v>
      </c>
      <c r="F7" s="36">
        <v>3</v>
      </c>
      <c r="G7" s="36">
        <v>2</v>
      </c>
      <c r="H7" s="13">
        <f t="shared" si="0"/>
        <v>27</v>
      </c>
      <c r="I7" s="12"/>
      <c r="J7" s="14">
        <f t="shared" si="1"/>
        <v>27</v>
      </c>
      <c r="K7">
        <v>27</v>
      </c>
      <c r="L7" s="34">
        <f t="shared" si="2"/>
        <v>0</v>
      </c>
    </row>
    <row r="8" spans="1:12" ht="15.75" x14ac:dyDescent="0.25">
      <c r="A8">
        <v>501244</v>
      </c>
      <c r="B8" s="9">
        <v>3030</v>
      </c>
      <c r="C8" s="10" t="s">
        <v>15</v>
      </c>
      <c r="D8" s="11"/>
      <c r="E8" s="36"/>
      <c r="F8" s="36"/>
      <c r="G8" s="36"/>
      <c r="H8" s="13">
        <f t="shared" si="0"/>
        <v>0</v>
      </c>
      <c r="I8" s="12"/>
      <c r="J8" s="14">
        <f t="shared" si="1"/>
        <v>0</v>
      </c>
      <c r="L8" s="34">
        <f t="shared" si="2"/>
        <v>0</v>
      </c>
    </row>
    <row r="9" spans="1:12" ht="15.75" x14ac:dyDescent="0.25">
      <c r="A9">
        <v>501456</v>
      </c>
      <c r="B9" s="9">
        <v>3030</v>
      </c>
      <c r="C9" s="10" t="s">
        <v>16</v>
      </c>
      <c r="D9" s="11"/>
      <c r="E9" s="36"/>
      <c r="F9" s="36"/>
      <c r="G9" s="36"/>
      <c r="H9" s="13">
        <f t="shared" si="0"/>
        <v>0</v>
      </c>
      <c r="I9" s="12"/>
      <c r="J9" s="14">
        <f t="shared" si="1"/>
        <v>0</v>
      </c>
      <c r="L9" s="34">
        <f t="shared" si="2"/>
        <v>0</v>
      </c>
    </row>
    <row r="10" spans="1:12" ht="15.75" x14ac:dyDescent="0.25">
      <c r="A10">
        <v>501540</v>
      </c>
      <c r="B10" s="9">
        <v>3030</v>
      </c>
      <c r="C10" s="10" t="s">
        <v>17</v>
      </c>
      <c r="D10" s="11"/>
      <c r="E10" s="36"/>
      <c r="F10" s="36"/>
      <c r="G10" s="36"/>
      <c r="H10" s="13">
        <f t="shared" si="0"/>
        <v>0</v>
      </c>
      <c r="I10" s="12"/>
      <c r="J10" s="14">
        <f t="shared" si="1"/>
        <v>0</v>
      </c>
      <c r="L10" s="34">
        <f t="shared" si="2"/>
        <v>0</v>
      </c>
    </row>
    <row r="11" spans="1:12" ht="15.75" x14ac:dyDescent="0.25">
      <c r="B11" s="9">
        <v>3030</v>
      </c>
      <c r="C11" s="10" t="s">
        <v>18</v>
      </c>
      <c r="D11" s="11"/>
      <c r="E11" s="36"/>
      <c r="F11" s="36"/>
      <c r="G11" s="36"/>
      <c r="H11" s="13">
        <f t="shared" si="0"/>
        <v>0</v>
      </c>
      <c r="I11" s="12"/>
      <c r="J11" s="14">
        <f t="shared" si="1"/>
        <v>0</v>
      </c>
      <c r="L11" s="34">
        <f t="shared" si="2"/>
        <v>0</v>
      </c>
    </row>
    <row r="12" spans="1:12" ht="15.75" x14ac:dyDescent="0.25">
      <c r="B12" s="9">
        <v>2250</v>
      </c>
      <c r="C12" s="10" t="s">
        <v>11</v>
      </c>
      <c r="D12" s="11"/>
      <c r="E12" s="36"/>
      <c r="F12" s="36"/>
      <c r="G12" s="36"/>
      <c r="H12" s="13">
        <f t="shared" si="0"/>
        <v>0</v>
      </c>
      <c r="I12" s="12"/>
      <c r="J12" s="14">
        <f t="shared" si="1"/>
        <v>0</v>
      </c>
      <c r="L12" s="34">
        <f t="shared" si="2"/>
        <v>0</v>
      </c>
    </row>
    <row r="13" spans="1:12" ht="15.75" x14ac:dyDescent="0.25">
      <c r="B13" s="9">
        <v>2250</v>
      </c>
      <c r="C13" s="10" t="s">
        <v>19</v>
      </c>
      <c r="D13" s="11"/>
      <c r="E13" s="36"/>
      <c r="F13" s="36"/>
      <c r="G13" s="36"/>
      <c r="H13" s="13">
        <f t="shared" si="0"/>
        <v>0</v>
      </c>
      <c r="I13" s="12"/>
      <c r="J13" s="14">
        <f t="shared" si="1"/>
        <v>0</v>
      </c>
      <c r="L13" s="34">
        <f t="shared" si="2"/>
        <v>0</v>
      </c>
    </row>
    <row r="14" spans="1:12" ht="15.75" x14ac:dyDescent="0.25">
      <c r="B14" s="9">
        <v>1800</v>
      </c>
      <c r="C14" s="10" t="s">
        <v>20</v>
      </c>
      <c r="D14" s="11"/>
      <c r="E14" s="36"/>
      <c r="F14" s="36"/>
      <c r="G14" s="36"/>
      <c r="H14" s="13">
        <f t="shared" si="0"/>
        <v>0</v>
      </c>
      <c r="I14" s="12"/>
      <c r="J14" s="14">
        <f t="shared" si="1"/>
        <v>0</v>
      </c>
      <c r="L14" s="34">
        <f t="shared" si="2"/>
        <v>0</v>
      </c>
    </row>
    <row r="15" spans="1:12" ht="15.75" x14ac:dyDescent="0.25">
      <c r="B15" s="9">
        <v>1800</v>
      </c>
      <c r="C15" s="10" t="s">
        <v>21</v>
      </c>
      <c r="D15" s="11"/>
      <c r="E15" s="36"/>
      <c r="F15" s="36"/>
      <c r="G15" s="36"/>
      <c r="H15" s="13">
        <f t="shared" si="0"/>
        <v>0</v>
      </c>
      <c r="I15" s="12"/>
      <c r="J15" s="14">
        <f t="shared" si="1"/>
        <v>0</v>
      </c>
      <c r="L15" s="34">
        <f t="shared" si="2"/>
        <v>0</v>
      </c>
    </row>
    <row r="16" spans="1:12" ht="15.75" x14ac:dyDescent="0.25">
      <c r="A16">
        <v>500390</v>
      </c>
      <c r="B16" s="9">
        <v>1.3</v>
      </c>
      <c r="C16" s="10" t="s">
        <v>22</v>
      </c>
      <c r="D16" s="11">
        <v>83</v>
      </c>
      <c r="E16" s="36">
        <v>3</v>
      </c>
      <c r="F16" s="36"/>
      <c r="G16" s="36">
        <v>7</v>
      </c>
      <c r="H16" s="13">
        <f t="shared" si="0"/>
        <v>93</v>
      </c>
      <c r="I16" s="12"/>
      <c r="J16" s="14">
        <f t="shared" si="1"/>
        <v>93</v>
      </c>
      <c r="K16">
        <v>93</v>
      </c>
      <c r="L16" s="34">
        <f t="shared" si="2"/>
        <v>0</v>
      </c>
    </row>
    <row r="17" spans="1:12" ht="15.75" x14ac:dyDescent="0.25">
      <c r="B17" s="9">
        <v>1.3</v>
      </c>
      <c r="C17" s="10" t="s">
        <v>23</v>
      </c>
      <c r="D17" s="11"/>
      <c r="E17" s="36"/>
      <c r="F17" s="36"/>
      <c r="G17" s="36"/>
      <c r="H17" s="13">
        <f t="shared" si="0"/>
        <v>0</v>
      </c>
      <c r="I17" s="12"/>
      <c r="J17" s="14">
        <f t="shared" si="1"/>
        <v>0</v>
      </c>
      <c r="L17" s="34">
        <f t="shared" si="2"/>
        <v>0</v>
      </c>
    </row>
    <row r="18" spans="1:12" ht="15.75" x14ac:dyDescent="0.25">
      <c r="B18" s="9">
        <v>1.3</v>
      </c>
      <c r="C18" s="10" t="s">
        <v>24</v>
      </c>
      <c r="D18" s="11"/>
      <c r="E18" s="36"/>
      <c r="F18" s="36"/>
      <c r="G18" s="36"/>
      <c r="H18" s="13">
        <f t="shared" si="0"/>
        <v>0</v>
      </c>
      <c r="I18" s="12"/>
      <c r="J18" s="14">
        <f t="shared" si="1"/>
        <v>0</v>
      </c>
      <c r="L18" s="34">
        <f t="shared" si="2"/>
        <v>0</v>
      </c>
    </row>
    <row r="19" spans="1:12" ht="15.75" x14ac:dyDescent="0.25">
      <c r="A19">
        <v>511927</v>
      </c>
      <c r="B19" s="9">
        <v>1.3</v>
      </c>
      <c r="C19" s="10" t="s">
        <v>25</v>
      </c>
      <c r="D19" s="11">
        <v>58</v>
      </c>
      <c r="E19" s="36">
        <v>7</v>
      </c>
      <c r="F19" s="36">
        <v>4</v>
      </c>
      <c r="G19" s="36">
        <v>7</v>
      </c>
      <c r="H19" s="13">
        <f t="shared" si="0"/>
        <v>76</v>
      </c>
      <c r="I19" s="12"/>
      <c r="J19" s="14">
        <f t="shared" si="1"/>
        <v>76</v>
      </c>
      <c r="K19">
        <v>76</v>
      </c>
      <c r="L19" s="34">
        <f t="shared" si="2"/>
        <v>0</v>
      </c>
    </row>
    <row r="20" spans="1:12" ht="15.75" x14ac:dyDescent="0.25">
      <c r="A20">
        <v>509919</v>
      </c>
      <c r="B20" s="9">
        <v>1.3</v>
      </c>
      <c r="C20" s="10" t="s">
        <v>26</v>
      </c>
      <c r="D20" s="11"/>
      <c r="E20" s="36"/>
      <c r="F20" s="36"/>
      <c r="G20" s="36"/>
      <c r="H20" s="13">
        <f t="shared" si="0"/>
        <v>0</v>
      </c>
      <c r="I20" s="12"/>
      <c r="J20" s="14">
        <f t="shared" si="1"/>
        <v>0</v>
      </c>
      <c r="L20" s="34">
        <f t="shared" si="2"/>
        <v>0</v>
      </c>
    </row>
    <row r="21" spans="1:12" ht="15.75" x14ac:dyDescent="0.25">
      <c r="B21" s="9">
        <v>1300</v>
      </c>
      <c r="C21" s="10" t="s">
        <v>27</v>
      </c>
      <c r="D21" s="11"/>
      <c r="E21" s="36"/>
      <c r="F21" s="36"/>
      <c r="G21" s="36"/>
      <c r="H21" s="13">
        <f t="shared" si="0"/>
        <v>0</v>
      </c>
      <c r="I21" s="12"/>
      <c r="J21" s="14">
        <f t="shared" si="1"/>
        <v>0</v>
      </c>
      <c r="L21" s="34">
        <f t="shared" si="2"/>
        <v>0</v>
      </c>
    </row>
    <row r="22" spans="1:12" ht="15.75" x14ac:dyDescent="0.25">
      <c r="A22">
        <v>500094</v>
      </c>
      <c r="B22" s="9">
        <v>1000</v>
      </c>
      <c r="C22" s="10" t="s">
        <v>11</v>
      </c>
      <c r="D22" s="11"/>
      <c r="E22" s="36"/>
      <c r="F22" s="36"/>
      <c r="G22" s="36"/>
      <c r="H22" s="13">
        <f t="shared" si="0"/>
        <v>0</v>
      </c>
      <c r="I22" s="12"/>
      <c r="J22" s="14">
        <f t="shared" si="1"/>
        <v>0</v>
      </c>
      <c r="L22" s="34">
        <f t="shared" si="2"/>
        <v>0</v>
      </c>
    </row>
    <row r="23" spans="1:12" ht="15.75" x14ac:dyDescent="0.25">
      <c r="A23">
        <v>599038</v>
      </c>
      <c r="B23" s="9">
        <v>625</v>
      </c>
      <c r="C23" s="10" t="s">
        <v>28</v>
      </c>
      <c r="D23" s="11"/>
      <c r="E23" s="36">
        <v>4</v>
      </c>
      <c r="F23" s="36">
        <v>2</v>
      </c>
      <c r="G23" s="36">
        <v>8</v>
      </c>
      <c r="H23" s="13">
        <f t="shared" si="0"/>
        <v>14</v>
      </c>
      <c r="I23" s="12"/>
      <c r="J23" s="14">
        <f t="shared" si="1"/>
        <v>14</v>
      </c>
      <c r="K23">
        <v>14</v>
      </c>
      <c r="L23" s="34">
        <f t="shared" si="2"/>
        <v>0</v>
      </c>
    </row>
    <row r="24" spans="1:12" ht="15.75" x14ac:dyDescent="0.25">
      <c r="A24">
        <v>500303</v>
      </c>
      <c r="B24" s="9">
        <v>625</v>
      </c>
      <c r="C24" s="10" t="s">
        <v>29</v>
      </c>
      <c r="D24" s="11">
        <v>2</v>
      </c>
      <c r="E24" s="36"/>
      <c r="F24" s="36"/>
      <c r="G24" s="36"/>
      <c r="H24" s="13">
        <f t="shared" si="0"/>
        <v>2</v>
      </c>
      <c r="I24" s="12"/>
      <c r="J24" s="14">
        <f t="shared" si="1"/>
        <v>2</v>
      </c>
      <c r="K24">
        <v>2</v>
      </c>
      <c r="L24" s="34">
        <f t="shared" si="2"/>
        <v>0</v>
      </c>
    </row>
    <row r="25" spans="1:12" ht="15.75" x14ac:dyDescent="0.25">
      <c r="A25">
        <v>599037</v>
      </c>
      <c r="B25" s="9">
        <v>625</v>
      </c>
      <c r="C25" s="10" t="s">
        <v>30</v>
      </c>
      <c r="D25" s="11"/>
      <c r="E25" s="36"/>
      <c r="F25" s="36"/>
      <c r="G25" s="36"/>
      <c r="H25" s="13">
        <f t="shared" si="0"/>
        <v>0</v>
      </c>
      <c r="I25" s="12"/>
      <c r="J25" s="14">
        <f t="shared" si="1"/>
        <v>0</v>
      </c>
      <c r="L25" s="34">
        <f t="shared" si="2"/>
        <v>0</v>
      </c>
    </row>
    <row r="26" spans="1:12" ht="15.75" x14ac:dyDescent="0.25">
      <c r="A26">
        <v>599036</v>
      </c>
      <c r="B26" s="9">
        <v>625</v>
      </c>
      <c r="C26" s="10" t="s">
        <v>31</v>
      </c>
      <c r="D26" s="11"/>
      <c r="E26" s="36"/>
      <c r="F26" s="36"/>
      <c r="G26" s="36"/>
      <c r="H26" s="13">
        <f t="shared" si="0"/>
        <v>0</v>
      </c>
      <c r="I26" s="12"/>
      <c r="J26" s="14">
        <f t="shared" si="1"/>
        <v>0</v>
      </c>
      <c r="L26" s="34">
        <f t="shared" si="2"/>
        <v>0</v>
      </c>
    </row>
    <row r="27" spans="1:12" ht="15.75" x14ac:dyDescent="0.25">
      <c r="A27">
        <v>599035</v>
      </c>
      <c r="B27" s="9">
        <v>625</v>
      </c>
      <c r="C27" s="10" t="s">
        <v>32</v>
      </c>
      <c r="D27" s="11">
        <v>16</v>
      </c>
      <c r="E27" s="36"/>
      <c r="F27" s="36">
        <v>3</v>
      </c>
      <c r="G27" s="36">
        <v>1</v>
      </c>
      <c r="H27" s="13">
        <f t="shared" si="0"/>
        <v>20</v>
      </c>
      <c r="I27" s="12"/>
      <c r="J27" s="14">
        <f t="shared" si="1"/>
        <v>20</v>
      </c>
      <c r="K27">
        <v>20</v>
      </c>
      <c r="L27" s="34">
        <f t="shared" si="2"/>
        <v>0</v>
      </c>
    </row>
    <row r="28" spans="1:12" ht="15.75" x14ac:dyDescent="0.25">
      <c r="B28" s="9">
        <v>625</v>
      </c>
      <c r="C28" s="10" t="s">
        <v>33</v>
      </c>
      <c r="D28" s="11"/>
      <c r="E28" s="36"/>
      <c r="F28" s="36"/>
      <c r="G28" s="36"/>
      <c r="H28" s="13">
        <f t="shared" si="0"/>
        <v>0</v>
      </c>
      <c r="I28" s="12"/>
      <c r="J28" s="14">
        <f t="shared" si="1"/>
        <v>0</v>
      </c>
      <c r="L28" s="34">
        <f t="shared" si="2"/>
        <v>0</v>
      </c>
    </row>
    <row r="29" spans="1:12" ht="15.75" x14ac:dyDescent="0.25">
      <c r="B29" s="9">
        <v>625</v>
      </c>
      <c r="C29" s="10" t="s">
        <v>27</v>
      </c>
      <c r="D29" s="11"/>
      <c r="E29" s="36"/>
      <c r="F29" s="36"/>
      <c r="G29" s="36"/>
      <c r="H29" s="13">
        <f t="shared" si="0"/>
        <v>0</v>
      </c>
      <c r="I29" s="12"/>
      <c r="J29" s="14">
        <f t="shared" si="1"/>
        <v>0</v>
      </c>
      <c r="L29" s="34">
        <f t="shared" si="2"/>
        <v>0</v>
      </c>
    </row>
    <row r="30" spans="1:12" ht="15.75" x14ac:dyDescent="0.25">
      <c r="B30" s="15">
        <v>400</v>
      </c>
      <c r="C30" s="16" t="s">
        <v>11</v>
      </c>
      <c r="D30" s="11"/>
      <c r="E30" s="36"/>
      <c r="F30" s="36"/>
      <c r="G30" s="36"/>
      <c r="H30" s="13">
        <f t="shared" si="0"/>
        <v>0</v>
      </c>
      <c r="I30" s="12"/>
      <c r="J30" s="14">
        <f t="shared" si="1"/>
        <v>0</v>
      </c>
      <c r="L30" s="34">
        <f t="shared" si="2"/>
        <v>0</v>
      </c>
    </row>
    <row r="31" spans="1:12" ht="15.75" x14ac:dyDescent="0.25">
      <c r="B31" s="9">
        <v>400</v>
      </c>
      <c r="C31" s="10" t="s">
        <v>14</v>
      </c>
      <c r="D31" s="11"/>
      <c r="E31" s="36"/>
      <c r="F31" s="36"/>
      <c r="G31" s="36"/>
      <c r="H31" s="13">
        <f t="shared" si="0"/>
        <v>0</v>
      </c>
      <c r="I31" s="12"/>
      <c r="J31" s="14">
        <f t="shared" si="1"/>
        <v>0</v>
      </c>
      <c r="L31" s="34">
        <f t="shared" si="2"/>
        <v>0</v>
      </c>
    </row>
    <row r="32" spans="1:12" ht="15.75" x14ac:dyDescent="0.25">
      <c r="B32" s="9">
        <v>400</v>
      </c>
      <c r="C32" s="10" t="s">
        <v>16</v>
      </c>
      <c r="D32" s="11"/>
      <c r="E32" s="36"/>
      <c r="F32" s="36"/>
      <c r="G32" s="36"/>
      <c r="H32" s="13">
        <f t="shared" si="0"/>
        <v>0</v>
      </c>
      <c r="I32" s="12"/>
      <c r="J32" s="14">
        <f t="shared" si="1"/>
        <v>0</v>
      </c>
      <c r="L32" s="34">
        <f t="shared" si="2"/>
        <v>0</v>
      </c>
    </row>
    <row r="33" spans="1:12" ht="15.75" x14ac:dyDescent="0.25">
      <c r="A33">
        <v>522495</v>
      </c>
      <c r="B33" s="9">
        <v>360</v>
      </c>
      <c r="C33" s="10" t="s">
        <v>34</v>
      </c>
      <c r="D33" s="11"/>
      <c r="E33" s="36"/>
      <c r="F33" s="36"/>
      <c r="G33" s="36"/>
      <c r="H33" s="13">
        <f t="shared" si="0"/>
        <v>0</v>
      </c>
      <c r="I33" s="12"/>
      <c r="J33" s="14">
        <f t="shared" si="1"/>
        <v>0</v>
      </c>
      <c r="L33" s="34">
        <f t="shared" si="2"/>
        <v>0</v>
      </c>
    </row>
    <row r="34" spans="1:12" ht="15.75" x14ac:dyDescent="0.25">
      <c r="A34">
        <v>501504</v>
      </c>
      <c r="B34" s="9">
        <v>360</v>
      </c>
      <c r="C34" s="10" t="s">
        <v>35</v>
      </c>
      <c r="D34" s="11">
        <v>10</v>
      </c>
      <c r="E34" s="36">
        <v>8</v>
      </c>
      <c r="F34" s="36"/>
      <c r="G34" s="36">
        <v>3</v>
      </c>
      <c r="H34" s="13">
        <f t="shared" si="0"/>
        <v>21</v>
      </c>
      <c r="I34" s="12"/>
      <c r="J34" s="14">
        <f t="shared" si="1"/>
        <v>21</v>
      </c>
      <c r="K34">
        <v>21</v>
      </c>
      <c r="L34" s="34">
        <f t="shared" si="2"/>
        <v>0</v>
      </c>
    </row>
    <row r="35" spans="1:12" ht="15.75" x14ac:dyDescent="0.25">
      <c r="A35">
        <v>500713</v>
      </c>
      <c r="B35" s="9">
        <v>360</v>
      </c>
      <c r="C35" s="10" t="s">
        <v>36</v>
      </c>
      <c r="D35" s="11"/>
      <c r="E35" s="36"/>
      <c r="F35" s="36"/>
      <c r="G35" s="36"/>
      <c r="H35" s="13">
        <f t="shared" si="0"/>
        <v>0</v>
      </c>
      <c r="I35" s="12"/>
      <c r="J35" s="14">
        <f t="shared" si="1"/>
        <v>0</v>
      </c>
      <c r="L35" s="34">
        <f t="shared" si="2"/>
        <v>0</v>
      </c>
    </row>
    <row r="36" spans="1:12" ht="15.75" x14ac:dyDescent="0.25">
      <c r="A36">
        <v>523271</v>
      </c>
      <c r="B36" s="9">
        <v>400</v>
      </c>
      <c r="C36" s="17" t="s">
        <v>20</v>
      </c>
      <c r="D36" s="11">
        <v>1</v>
      </c>
      <c r="E36" s="36"/>
      <c r="F36" s="36"/>
      <c r="G36" s="36"/>
      <c r="H36" s="13">
        <f t="shared" si="0"/>
        <v>1</v>
      </c>
      <c r="I36" s="12"/>
      <c r="J36" s="14">
        <f t="shared" si="1"/>
        <v>1</v>
      </c>
      <c r="K36">
        <v>1</v>
      </c>
      <c r="L36" s="34">
        <f t="shared" si="2"/>
        <v>0</v>
      </c>
    </row>
    <row r="37" spans="1:12" ht="15.75" x14ac:dyDescent="0.25">
      <c r="A37">
        <v>521721</v>
      </c>
      <c r="B37" s="9">
        <v>400</v>
      </c>
      <c r="C37" s="17" t="s">
        <v>13</v>
      </c>
      <c r="D37" s="11">
        <v>143</v>
      </c>
      <c r="E37" s="36">
        <v>15</v>
      </c>
      <c r="F37" s="36">
        <v>8</v>
      </c>
      <c r="G37" s="36"/>
      <c r="H37" s="13">
        <f t="shared" si="0"/>
        <v>166</v>
      </c>
      <c r="I37" s="12"/>
      <c r="J37" s="14">
        <f t="shared" si="1"/>
        <v>166</v>
      </c>
      <c r="K37">
        <v>166</v>
      </c>
      <c r="L37" s="34">
        <f t="shared" si="2"/>
        <v>0</v>
      </c>
    </row>
    <row r="38" spans="1:12" ht="15.75" x14ac:dyDescent="0.25">
      <c r="B38" s="9">
        <v>360</v>
      </c>
      <c r="C38" s="10" t="s">
        <v>27</v>
      </c>
      <c r="D38" s="11"/>
      <c r="E38" s="36"/>
      <c r="F38" s="36"/>
      <c r="G38" s="36"/>
      <c r="H38" s="13">
        <f t="shared" si="0"/>
        <v>0</v>
      </c>
      <c r="I38" s="12"/>
      <c r="J38" s="14">
        <f t="shared" si="1"/>
        <v>0</v>
      </c>
      <c r="L38" s="34">
        <f t="shared" si="2"/>
        <v>0</v>
      </c>
    </row>
    <row r="39" spans="1:12" ht="15.75" x14ac:dyDescent="0.25">
      <c r="B39" s="9">
        <v>360</v>
      </c>
      <c r="C39" s="10" t="s">
        <v>37</v>
      </c>
      <c r="D39" s="11"/>
      <c r="E39" s="36"/>
      <c r="F39" s="36"/>
      <c r="G39" s="36"/>
      <c r="H39" s="13">
        <f t="shared" si="0"/>
        <v>0</v>
      </c>
      <c r="I39" s="12"/>
      <c r="J39" s="14">
        <f t="shared" si="1"/>
        <v>0</v>
      </c>
      <c r="L39" s="34">
        <f t="shared" si="2"/>
        <v>0</v>
      </c>
    </row>
    <row r="40" spans="1:12" ht="15.75" x14ac:dyDescent="0.25">
      <c r="B40" s="9">
        <v>360</v>
      </c>
      <c r="C40" s="10" t="s">
        <v>38</v>
      </c>
      <c r="D40" s="11"/>
      <c r="E40" s="36"/>
      <c r="F40" s="36"/>
      <c r="G40" s="36"/>
      <c r="H40" s="13">
        <f t="shared" si="0"/>
        <v>0</v>
      </c>
      <c r="I40" s="12"/>
      <c r="J40" s="14">
        <f t="shared" si="1"/>
        <v>0</v>
      </c>
      <c r="L40" s="34">
        <f t="shared" si="2"/>
        <v>0</v>
      </c>
    </row>
    <row r="41" spans="1:12" ht="15.75" x14ac:dyDescent="0.25">
      <c r="B41" s="9">
        <v>375</v>
      </c>
      <c r="C41" s="10" t="s">
        <v>39</v>
      </c>
      <c r="D41" s="11"/>
      <c r="E41" s="36"/>
      <c r="F41" s="36"/>
      <c r="G41" s="36"/>
      <c r="H41" s="13">
        <f t="shared" si="0"/>
        <v>0</v>
      </c>
      <c r="I41" s="12"/>
      <c r="J41" s="14">
        <f t="shared" si="1"/>
        <v>0</v>
      </c>
      <c r="L41" s="34">
        <f t="shared" si="2"/>
        <v>0</v>
      </c>
    </row>
    <row r="42" spans="1:12" ht="15.75" x14ac:dyDescent="0.25">
      <c r="A42">
        <v>598908</v>
      </c>
      <c r="B42" s="9">
        <v>355</v>
      </c>
      <c r="C42" s="10" t="s">
        <v>40</v>
      </c>
      <c r="D42" s="11"/>
      <c r="E42" s="36"/>
      <c r="F42" s="36"/>
      <c r="G42" s="36"/>
      <c r="H42" s="13">
        <f t="shared" si="0"/>
        <v>0</v>
      </c>
      <c r="I42" s="12"/>
      <c r="J42" s="14">
        <f t="shared" si="1"/>
        <v>0</v>
      </c>
      <c r="L42" s="34">
        <f t="shared" si="2"/>
        <v>0</v>
      </c>
    </row>
    <row r="43" spans="1:12" ht="15.75" x14ac:dyDescent="0.25">
      <c r="A43">
        <v>599149</v>
      </c>
      <c r="B43" s="9">
        <v>300</v>
      </c>
      <c r="C43" s="17" t="s">
        <v>41</v>
      </c>
      <c r="D43" s="11">
        <v>25</v>
      </c>
      <c r="E43" s="36">
        <v>4</v>
      </c>
      <c r="F43" s="36">
        <v>5</v>
      </c>
      <c r="G43" s="36">
        <v>3</v>
      </c>
      <c r="H43" s="13">
        <f t="shared" si="0"/>
        <v>37</v>
      </c>
      <c r="I43" s="12"/>
      <c r="J43" s="14">
        <f t="shared" si="1"/>
        <v>37</v>
      </c>
      <c r="K43">
        <v>37</v>
      </c>
      <c r="L43" s="34">
        <f t="shared" si="2"/>
        <v>0</v>
      </c>
    </row>
    <row r="44" spans="1:12" ht="15.75" x14ac:dyDescent="0.25">
      <c r="B44" s="9">
        <v>355</v>
      </c>
      <c r="C44" s="10" t="s">
        <v>42</v>
      </c>
      <c r="D44" s="11"/>
      <c r="E44" s="36"/>
      <c r="F44" s="36"/>
      <c r="G44" s="36"/>
      <c r="H44" s="13">
        <f t="shared" si="0"/>
        <v>0</v>
      </c>
      <c r="I44" s="12"/>
      <c r="J44" s="14">
        <f t="shared" si="1"/>
        <v>0</v>
      </c>
      <c r="L44" s="34">
        <f t="shared" si="2"/>
        <v>0</v>
      </c>
    </row>
    <row r="45" spans="1:12" ht="15.75" x14ac:dyDescent="0.25">
      <c r="B45" s="9">
        <v>355</v>
      </c>
      <c r="C45" s="10" t="s">
        <v>43</v>
      </c>
      <c r="D45" s="11"/>
      <c r="E45" s="36"/>
      <c r="F45" s="36"/>
      <c r="G45" s="36"/>
      <c r="H45" s="13">
        <f t="shared" si="0"/>
        <v>0</v>
      </c>
      <c r="I45" s="12"/>
      <c r="J45" s="14">
        <f t="shared" si="1"/>
        <v>0</v>
      </c>
      <c r="L45" s="34">
        <f t="shared" si="2"/>
        <v>0</v>
      </c>
    </row>
    <row r="46" spans="1:12" ht="15.75" x14ac:dyDescent="0.25">
      <c r="B46" s="9">
        <v>355</v>
      </c>
      <c r="C46" s="10" t="s">
        <v>44</v>
      </c>
      <c r="D46" s="11"/>
      <c r="E46" s="36"/>
      <c r="F46" s="36"/>
      <c r="G46" s="36"/>
      <c r="H46" s="13">
        <f t="shared" si="0"/>
        <v>0</v>
      </c>
      <c r="I46" s="12"/>
      <c r="J46" s="14">
        <f t="shared" si="1"/>
        <v>0</v>
      </c>
      <c r="L46" s="34">
        <f t="shared" si="2"/>
        <v>0</v>
      </c>
    </row>
    <row r="47" spans="1:12" ht="15.75" x14ac:dyDescent="0.25">
      <c r="B47" s="9">
        <v>355</v>
      </c>
      <c r="C47" s="10" t="s">
        <v>45</v>
      </c>
      <c r="D47" s="11"/>
      <c r="E47" s="36"/>
      <c r="F47" s="36"/>
      <c r="G47" s="36"/>
      <c r="H47" s="13">
        <f t="shared" si="0"/>
        <v>0</v>
      </c>
      <c r="I47" s="12"/>
      <c r="J47" s="14">
        <f t="shared" si="1"/>
        <v>0</v>
      </c>
      <c r="L47" s="34">
        <f t="shared" si="2"/>
        <v>0</v>
      </c>
    </row>
    <row r="48" spans="1:12" ht="15.75" x14ac:dyDescent="0.25">
      <c r="B48" s="9">
        <v>355</v>
      </c>
      <c r="C48" s="10" t="s">
        <v>46</v>
      </c>
      <c r="D48" s="11"/>
      <c r="E48" s="36"/>
      <c r="F48" s="36"/>
      <c r="G48" s="36"/>
      <c r="H48" s="13">
        <f t="shared" si="0"/>
        <v>0</v>
      </c>
      <c r="I48" s="12"/>
      <c r="J48" s="14">
        <f t="shared" si="1"/>
        <v>0</v>
      </c>
      <c r="L48" s="34">
        <f t="shared" si="2"/>
        <v>0</v>
      </c>
    </row>
    <row r="49" spans="1:12" ht="15.75" x14ac:dyDescent="0.25">
      <c r="B49" s="9">
        <v>625</v>
      </c>
      <c r="C49" s="10" t="s">
        <v>41</v>
      </c>
      <c r="D49" s="11"/>
      <c r="E49" s="36"/>
      <c r="F49" s="36"/>
      <c r="G49" s="36"/>
      <c r="H49" s="13">
        <f t="shared" si="0"/>
        <v>0</v>
      </c>
      <c r="I49" s="12"/>
      <c r="J49" s="14">
        <f t="shared" si="1"/>
        <v>0</v>
      </c>
      <c r="L49" s="34">
        <f t="shared" si="2"/>
        <v>0</v>
      </c>
    </row>
    <row r="50" spans="1:12" ht="15.75" x14ac:dyDescent="0.25">
      <c r="B50" s="9">
        <v>625</v>
      </c>
      <c r="C50" s="10" t="s">
        <v>47</v>
      </c>
      <c r="D50" s="11"/>
      <c r="E50" s="36"/>
      <c r="F50" s="36"/>
      <c r="G50" s="36"/>
      <c r="H50" s="13">
        <f t="shared" si="0"/>
        <v>0</v>
      </c>
      <c r="I50" s="12"/>
      <c r="J50" s="14">
        <f t="shared" si="1"/>
        <v>0</v>
      </c>
      <c r="L50" s="34">
        <f t="shared" si="2"/>
        <v>0</v>
      </c>
    </row>
    <row r="51" spans="1:12" ht="15.75" x14ac:dyDescent="0.25">
      <c r="A51">
        <v>517209</v>
      </c>
      <c r="B51" s="18">
        <v>360</v>
      </c>
      <c r="C51" s="10" t="s">
        <v>47</v>
      </c>
      <c r="D51" s="11">
        <v>141</v>
      </c>
      <c r="E51" s="36">
        <v>1</v>
      </c>
      <c r="F51" s="36">
        <v>5</v>
      </c>
      <c r="G51" s="36"/>
      <c r="H51" s="13">
        <f t="shared" si="0"/>
        <v>147</v>
      </c>
      <c r="I51" s="12"/>
      <c r="J51" s="14">
        <f t="shared" si="1"/>
        <v>147</v>
      </c>
      <c r="K51">
        <v>147</v>
      </c>
      <c r="L51" s="34">
        <f t="shared" si="2"/>
        <v>0</v>
      </c>
    </row>
    <row r="52" spans="1:12" ht="15.75" x14ac:dyDescent="0.25">
      <c r="B52" s="18">
        <v>625</v>
      </c>
      <c r="C52" s="10" t="s">
        <v>48</v>
      </c>
      <c r="D52" s="11"/>
      <c r="E52" s="36"/>
      <c r="F52" s="36"/>
      <c r="G52" s="36"/>
      <c r="H52" s="13">
        <f t="shared" si="0"/>
        <v>0</v>
      </c>
      <c r="I52" s="12"/>
      <c r="J52" s="14">
        <f t="shared" si="1"/>
        <v>0</v>
      </c>
      <c r="L52" s="34">
        <f t="shared" si="2"/>
        <v>0</v>
      </c>
    </row>
    <row r="53" spans="1:12" ht="15.75" x14ac:dyDescent="0.25">
      <c r="A53">
        <v>522919</v>
      </c>
      <c r="B53" s="19">
        <v>625</v>
      </c>
      <c r="C53" s="17" t="s">
        <v>49</v>
      </c>
      <c r="D53" s="11">
        <v>69</v>
      </c>
      <c r="E53" s="36"/>
      <c r="F53" s="36">
        <v>6</v>
      </c>
      <c r="G53" s="36">
        <v>7</v>
      </c>
      <c r="H53" s="13">
        <f t="shared" si="0"/>
        <v>82</v>
      </c>
      <c r="I53" s="12"/>
      <c r="J53" s="14">
        <f>H53-I53</f>
        <v>82</v>
      </c>
      <c r="K53">
        <v>82</v>
      </c>
      <c r="L53" s="34">
        <f t="shared" si="2"/>
        <v>0</v>
      </c>
    </row>
    <row r="54" spans="1:12" ht="15.75" x14ac:dyDescent="0.25">
      <c r="A54">
        <v>522918</v>
      </c>
      <c r="B54" s="18">
        <v>375</v>
      </c>
      <c r="C54" s="10" t="s">
        <v>48</v>
      </c>
      <c r="D54" s="11">
        <v>114</v>
      </c>
      <c r="E54" s="36">
        <v>9</v>
      </c>
      <c r="F54" s="36"/>
      <c r="G54" s="36">
        <v>3</v>
      </c>
      <c r="H54" s="13">
        <f t="shared" si="0"/>
        <v>126</v>
      </c>
      <c r="I54" s="12"/>
      <c r="J54" s="14">
        <f t="shared" si="1"/>
        <v>126</v>
      </c>
      <c r="K54">
        <v>126</v>
      </c>
      <c r="L54" s="34">
        <f t="shared" si="2"/>
        <v>0</v>
      </c>
    </row>
    <row r="55" spans="1:12" ht="15.75" x14ac:dyDescent="0.25">
      <c r="B55" s="20">
        <v>375</v>
      </c>
      <c r="C55" s="21" t="s">
        <v>50</v>
      </c>
      <c r="D55" s="11"/>
      <c r="E55" s="36"/>
      <c r="F55" s="36"/>
      <c r="G55" s="36"/>
      <c r="H55" s="13">
        <f t="shared" si="0"/>
        <v>0</v>
      </c>
      <c r="I55" s="12"/>
      <c r="J55" s="14">
        <f t="shared" si="1"/>
        <v>0</v>
      </c>
      <c r="L55" s="34">
        <f t="shared" si="2"/>
        <v>0</v>
      </c>
    </row>
    <row r="56" spans="1:12" ht="15.75" x14ac:dyDescent="0.25">
      <c r="A56">
        <v>522920</v>
      </c>
      <c r="B56" s="22">
        <v>1.3</v>
      </c>
      <c r="C56" s="23" t="s">
        <v>51</v>
      </c>
      <c r="D56" s="11"/>
      <c r="E56" s="36"/>
      <c r="F56" s="36"/>
      <c r="G56" s="36"/>
      <c r="H56" s="13">
        <f t="shared" si="0"/>
        <v>0</v>
      </c>
      <c r="I56" s="12"/>
      <c r="J56" s="14">
        <f>H56-I56</f>
        <v>0</v>
      </c>
      <c r="L56" s="34">
        <f t="shared" si="2"/>
        <v>0</v>
      </c>
    </row>
    <row r="57" spans="1:12" ht="15.75" x14ac:dyDescent="0.25">
      <c r="A57">
        <v>523533</v>
      </c>
      <c r="B57" s="22">
        <v>1000</v>
      </c>
      <c r="C57" s="23" t="s">
        <v>48</v>
      </c>
      <c r="D57" s="11">
        <v>65</v>
      </c>
      <c r="E57" s="36"/>
      <c r="F57" s="36">
        <v>5</v>
      </c>
      <c r="G57" s="36">
        <v>2</v>
      </c>
      <c r="H57" s="13">
        <f t="shared" si="0"/>
        <v>72</v>
      </c>
      <c r="I57" s="12"/>
      <c r="J57" s="14">
        <f>H57-I57</f>
        <v>72</v>
      </c>
      <c r="K57">
        <v>72</v>
      </c>
      <c r="L57" s="34">
        <f t="shared" si="2"/>
        <v>0</v>
      </c>
    </row>
    <row r="58" spans="1:12" ht="15.75" x14ac:dyDescent="0.25">
      <c r="B58" s="9">
        <v>3300</v>
      </c>
      <c r="C58" s="10" t="s">
        <v>48</v>
      </c>
      <c r="D58" s="11"/>
      <c r="E58" s="36"/>
      <c r="F58" s="36"/>
      <c r="G58" s="36"/>
      <c r="H58" s="13">
        <f t="shared" si="0"/>
        <v>0</v>
      </c>
      <c r="I58" s="12"/>
      <c r="J58" s="14">
        <f t="shared" ref="J58:J121" si="3">H58-I58</f>
        <v>0</v>
      </c>
      <c r="L58" s="34">
        <f t="shared" si="2"/>
        <v>0</v>
      </c>
    </row>
    <row r="59" spans="1:12" ht="15.75" x14ac:dyDescent="0.25">
      <c r="A59">
        <v>598820</v>
      </c>
      <c r="B59" s="18">
        <v>145</v>
      </c>
      <c r="C59" s="10" t="s">
        <v>52</v>
      </c>
      <c r="D59" s="11"/>
      <c r="E59" s="36"/>
      <c r="F59" s="36"/>
      <c r="G59" s="36"/>
      <c r="H59" s="13">
        <f t="shared" si="0"/>
        <v>0</v>
      </c>
      <c r="I59" s="12"/>
      <c r="J59" s="14">
        <f t="shared" si="3"/>
        <v>0</v>
      </c>
      <c r="L59" s="34">
        <f t="shared" si="2"/>
        <v>0</v>
      </c>
    </row>
    <row r="60" spans="1:12" ht="15.75" x14ac:dyDescent="0.25">
      <c r="A60">
        <v>598821</v>
      </c>
      <c r="B60" s="9">
        <v>145</v>
      </c>
      <c r="C60" s="10" t="s">
        <v>53</v>
      </c>
      <c r="D60" s="11">
        <v>9</v>
      </c>
      <c r="E60" s="36">
        <v>25</v>
      </c>
      <c r="F60" s="36"/>
      <c r="G60" s="36">
        <v>18</v>
      </c>
      <c r="H60" s="13">
        <f t="shared" si="0"/>
        <v>52</v>
      </c>
      <c r="I60" s="12"/>
      <c r="J60" s="14">
        <f t="shared" si="3"/>
        <v>52</v>
      </c>
      <c r="K60">
        <v>52</v>
      </c>
      <c r="L60" s="34">
        <f t="shared" si="2"/>
        <v>0</v>
      </c>
    </row>
    <row r="61" spans="1:12" ht="15.75" x14ac:dyDescent="0.25">
      <c r="B61" s="9">
        <v>145</v>
      </c>
      <c r="C61" s="10" t="s">
        <v>54</v>
      </c>
      <c r="D61" s="11"/>
      <c r="E61" s="36"/>
      <c r="F61" s="36"/>
      <c r="G61" s="36"/>
      <c r="H61" s="13">
        <f t="shared" si="0"/>
        <v>0</v>
      </c>
      <c r="I61" s="12"/>
      <c r="J61" s="14">
        <f t="shared" si="3"/>
        <v>0</v>
      </c>
      <c r="L61" s="34">
        <f t="shared" si="2"/>
        <v>0</v>
      </c>
    </row>
    <row r="62" spans="1:12" ht="15.75" x14ac:dyDescent="0.25">
      <c r="B62" s="9">
        <v>145</v>
      </c>
      <c r="C62" s="10" t="s">
        <v>55</v>
      </c>
      <c r="D62" s="11"/>
      <c r="E62" s="36"/>
      <c r="F62" s="36"/>
      <c r="G62" s="36"/>
      <c r="H62" s="13">
        <f t="shared" si="0"/>
        <v>0</v>
      </c>
      <c r="I62" s="12"/>
      <c r="J62" s="14">
        <f t="shared" si="3"/>
        <v>0</v>
      </c>
      <c r="L62" s="34">
        <f t="shared" si="2"/>
        <v>0</v>
      </c>
    </row>
    <row r="63" spans="1:12" ht="15.75" x14ac:dyDescent="0.25">
      <c r="B63" s="9">
        <v>145</v>
      </c>
      <c r="C63" s="10" t="s">
        <v>56</v>
      </c>
      <c r="D63" s="11"/>
      <c r="E63" s="36"/>
      <c r="F63" s="36"/>
      <c r="G63" s="36"/>
      <c r="H63" s="13">
        <f t="shared" si="0"/>
        <v>0</v>
      </c>
      <c r="I63" s="12"/>
      <c r="J63" s="14">
        <f t="shared" si="3"/>
        <v>0</v>
      </c>
      <c r="L63" s="34">
        <f t="shared" si="2"/>
        <v>0</v>
      </c>
    </row>
    <row r="64" spans="1:12" ht="15.75" x14ac:dyDescent="0.25">
      <c r="B64" s="9">
        <v>145</v>
      </c>
      <c r="C64" s="10" t="s">
        <v>57</v>
      </c>
      <c r="D64" s="11"/>
      <c r="E64" s="36"/>
      <c r="F64" s="36"/>
      <c r="G64" s="36"/>
      <c r="H64" s="13">
        <f t="shared" si="0"/>
        <v>0</v>
      </c>
      <c r="I64" s="12"/>
      <c r="J64" s="14">
        <f t="shared" si="3"/>
        <v>0</v>
      </c>
      <c r="L64" s="34">
        <f t="shared" si="2"/>
        <v>0</v>
      </c>
    </row>
    <row r="65" spans="1:12" ht="15.75" x14ac:dyDescent="0.25">
      <c r="B65" s="9">
        <v>145</v>
      </c>
      <c r="C65" s="10" t="s">
        <v>58</v>
      </c>
      <c r="D65" s="11"/>
      <c r="E65" s="36"/>
      <c r="F65" s="36"/>
      <c r="G65" s="36"/>
      <c r="H65" s="13">
        <f t="shared" si="0"/>
        <v>0</v>
      </c>
      <c r="I65" s="12"/>
      <c r="J65" s="14">
        <f t="shared" si="3"/>
        <v>0</v>
      </c>
      <c r="L65" s="34">
        <f t="shared" si="2"/>
        <v>0</v>
      </c>
    </row>
    <row r="66" spans="1:12" ht="15.75" x14ac:dyDescent="0.25">
      <c r="B66" s="9">
        <v>145</v>
      </c>
      <c r="C66" s="10" t="s">
        <v>59</v>
      </c>
      <c r="D66" s="11"/>
      <c r="E66" s="36"/>
      <c r="F66" s="36"/>
      <c r="G66" s="36"/>
      <c r="H66" s="13">
        <f t="shared" si="0"/>
        <v>0</v>
      </c>
      <c r="I66" s="12"/>
      <c r="J66" s="14">
        <f t="shared" si="3"/>
        <v>0</v>
      </c>
      <c r="L66" s="34">
        <f t="shared" si="2"/>
        <v>0</v>
      </c>
    </row>
    <row r="67" spans="1:12" ht="15.75" x14ac:dyDescent="0.25">
      <c r="B67" s="9"/>
      <c r="C67" s="10" t="s">
        <v>60</v>
      </c>
      <c r="D67" s="11"/>
      <c r="E67" s="36"/>
      <c r="F67" s="36"/>
      <c r="G67" s="36"/>
      <c r="H67" s="13">
        <f t="shared" ref="H67:H130" si="4">D67+E67+F67+G67</f>
        <v>0</v>
      </c>
      <c r="I67" s="12"/>
      <c r="J67" s="14">
        <f t="shared" si="3"/>
        <v>0</v>
      </c>
      <c r="L67" s="34">
        <f t="shared" ref="L67:L130" si="5">K67-H67</f>
        <v>0</v>
      </c>
    </row>
    <row r="68" spans="1:12" ht="15.75" x14ac:dyDescent="0.25">
      <c r="A68">
        <v>598822</v>
      </c>
      <c r="B68" s="9">
        <v>250</v>
      </c>
      <c r="C68" s="10" t="s">
        <v>61</v>
      </c>
      <c r="D68" s="11"/>
      <c r="E68" s="36"/>
      <c r="F68" s="36"/>
      <c r="G68" s="36"/>
      <c r="H68" s="13">
        <f t="shared" si="4"/>
        <v>0</v>
      </c>
      <c r="I68" s="12"/>
      <c r="J68" s="14">
        <f t="shared" si="3"/>
        <v>0</v>
      </c>
      <c r="L68" s="34">
        <f t="shared" si="5"/>
        <v>0</v>
      </c>
    </row>
    <row r="69" spans="1:12" ht="15.75" x14ac:dyDescent="0.25">
      <c r="A69">
        <v>598823</v>
      </c>
      <c r="B69" s="9">
        <v>250</v>
      </c>
      <c r="C69" s="10" t="s">
        <v>62</v>
      </c>
      <c r="D69" s="11"/>
      <c r="E69" s="36"/>
      <c r="F69" s="36"/>
      <c r="G69" s="36"/>
      <c r="H69" s="13">
        <f t="shared" si="4"/>
        <v>0</v>
      </c>
      <c r="I69" s="12"/>
      <c r="J69" s="14">
        <f t="shared" si="3"/>
        <v>0</v>
      </c>
      <c r="L69" s="34">
        <f t="shared" si="5"/>
        <v>0</v>
      </c>
    </row>
    <row r="70" spans="1:12" ht="15.75" x14ac:dyDescent="0.25">
      <c r="B70" s="9">
        <v>250</v>
      </c>
      <c r="C70" s="10" t="s">
        <v>54</v>
      </c>
      <c r="D70" s="11"/>
      <c r="E70" s="36"/>
      <c r="F70" s="36"/>
      <c r="G70" s="36"/>
      <c r="H70" s="13">
        <f t="shared" si="4"/>
        <v>0</v>
      </c>
      <c r="I70" s="12"/>
      <c r="J70" s="14">
        <f t="shared" si="3"/>
        <v>0</v>
      </c>
      <c r="L70" s="34">
        <f t="shared" si="5"/>
        <v>0</v>
      </c>
    </row>
    <row r="71" spans="1:12" ht="15.75" x14ac:dyDescent="0.25">
      <c r="B71" s="9">
        <v>250</v>
      </c>
      <c r="C71" s="10" t="s">
        <v>55</v>
      </c>
      <c r="D71" s="11"/>
      <c r="E71" s="36"/>
      <c r="F71" s="36"/>
      <c r="G71" s="36"/>
      <c r="H71" s="13">
        <f t="shared" si="4"/>
        <v>0</v>
      </c>
      <c r="I71" s="12"/>
      <c r="J71" s="14">
        <f t="shared" si="3"/>
        <v>0</v>
      </c>
      <c r="L71" s="34">
        <f t="shared" si="5"/>
        <v>0</v>
      </c>
    </row>
    <row r="72" spans="1:12" ht="15.75" x14ac:dyDescent="0.25">
      <c r="B72" s="9">
        <v>250</v>
      </c>
      <c r="C72" s="10" t="s">
        <v>56</v>
      </c>
      <c r="D72" s="11"/>
      <c r="E72" s="36"/>
      <c r="F72" s="36"/>
      <c r="G72" s="36"/>
      <c r="H72" s="13">
        <f t="shared" si="4"/>
        <v>0</v>
      </c>
      <c r="I72" s="12"/>
      <c r="J72" s="14">
        <f t="shared" si="3"/>
        <v>0</v>
      </c>
      <c r="L72" s="34">
        <f t="shared" si="5"/>
        <v>0</v>
      </c>
    </row>
    <row r="73" spans="1:12" ht="15.75" x14ac:dyDescent="0.25">
      <c r="B73" s="9">
        <v>1000</v>
      </c>
      <c r="C73" s="10" t="s">
        <v>52</v>
      </c>
      <c r="D73" s="11"/>
      <c r="E73" s="36"/>
      <c r="F73" s="36"/>
      <c r="G73" s="36"/>
      <c r="H73" s="13">
        <f t="shared" si="4"/>
        <v>0</v>
      </c>
      <c r="I73" s="12"/>
      <c r="J73" s="14">
        <f t="shared" si="3"/>
        <v>0</v>
      </c>
      <c r="L73" s="34">
        <f t="shared" si="5"/>
        <v>0</v>
      </c>
    </row>
    <row r="74" spans="1:12" ht="15.75" x14ac:dyDescent="0.25">
      <c r="B74" s="9">
        <v>1000</v>
      </c>
      <c r="C74" s="10" t="s">
        <v>53</v>
      </c>
      <c r="D74" s="11"/>
      <c r="E74" s="36"/>
      <c r="F74" s="36"/>
      <c r="G74" s="36"/>
      <c r="H74" s="13">
        <f t="shared" si="4"/>
        <v>0</v>
      </c>
      <c r="I74" s="12"/>
      <c r="J74" s="14">
        <f t="shared" si="3"/>
        <v>0</v>
      </c>
      <c r="L74" s="34">
        <f t="shared" si="5"/>
        <v>0</v>
      </c>
    </row>
    <row r="75" spans="1:12" ht="15.75" x14ac:dyDescent="0.25">
      <c r="B75" s="9">
        <v>1000</v>
      </c>
      <c r="C75" s="10" t="s">
        <v>54</v>
      </c>
      <c r="D75" s="11"/>
      <c r="E75" s="36"/>
      <c r="F75" s="36"/>
      <c r="G75" s="36"/>
      <c r="H75" s="13">
        <f t="shared" si="4"/>
        <v>0</v>
      </c>
      <c r="I75" s="12"/>
      <c r="J75" s="14">
        <f t="shared" si="3"/>
        <v>0</v>
      </c>
      <c r="L75" s="34">
        <f t="shared" si="5"/>
        <v>0</v>
      </c>
    </row>
    <row r="76" spans="1:12" ht="15.75" x14ac:dyDescent="0.25">
      <c r="B76" s="9">
        <v>1000</v>
      </c>
      <c r="C76" s="10" t="s">
        <v>55</v>
      </c>
      <c r="D76" s="11"/>
      <c r="E76" s="36"/>
      <c r="F76" s="36"/>
      <c r="G76" s="36"/>
      <c r="H76" s="13">
        <f t="shared" si="4"/>
        <v>0</v>
      </c>
      <c r="I76" s="12"/>
      <c r="J76" s="14">
        <f t="shared" si="3"/>
        <v>0</v>
      </c>
      <c r="L76" s="34">
        <f t="shared" si="5"/>
        <v>0</v>
      </c>
    </row>
    <row r="77" spans="1:12" ht="15.75" x14ac:dyDescent="0.25">
      <c r="B77" s="9">
        <v>1000</v>
      </c>
      <c r="C77" s="10" t="s">
        <v>56</v>
      </c>
      <c r="D77" s="11"/>
      <c r="E77" s="36"/>
      <c r="F77" s="36"/>
      <c r="G77" s="36"/>
      <c r="H77" s="13">
        <f t="shared" si="4"/>
        <v>0</v>
      </c>
      <c r="I77" s="12"/>
      <c r="J77" s="14">
        <f t="shared" si="3"/>
        <v>0</v>
      </c>
      <c r="L77" s="34">
        <f t="shared" si="5"/>
        <v>0</v>
      </c>
    </row>
    <row r="78" spans="1:12" ht="15.75" x14ac:dyDescent="0.25">
      <c r="A78">
        <v>599461</v>
      </c>
      <c r="B78" s="18">
        <v>145</v>
      </c>
      <c r="C78" s="10" t="s">
        <v>63</v>
      </c>
      <c r="D78" s="11"/>
      <c r="E78" s="36"/>
      <c r="F78" s="36"/>
      <c r="G78" s="36"/>
      <c r="H78" s="13">
        <f t="shared" si="4"/>
        <v>0</v>
      </c>
      <c r="I78" s="12"/>
      <c r="J78" s="14">
        <f t="shared" si="3"/>
        <v>0</v>
      </c>
      <c r="L78" s="34">
        <f t="shared" si="5"/>
        <v>0</v>
      </c>
    </row>
    <row r="79" spans="1:12" ht="15.75" x14ac:dyDescent="0.25">
      <c r="B79" s="9">
        <v>145</v>
      </c>
      <c r="C79" s="10" t="s">
        <v>64</v>
      </c>
      <c r="D79" s="11"/>
      <c r="E79" s="36"/>
      <c r="F79" s="36"/>
      <c r="G79" s="36"/>
      <c r="H79" s="13">
        <f t="shared" si="4"/>
        <v>0</v>
      </c>
      <c r="I79" s="12"/>
      <c r="J79" s="14">
        <f t="shared" si="3"/>
        <v>0</v>
      </c>
      <c r="L79" s="34">
        <f t="shared" si="5"/>
        <v>0</v>
      </c>
    </row>
    <row r="80" spans="1:12" ht="15.75" x14ac:dyDescent="0.25">
      <c r="B80" s="9">
        <v>145</v>
      </c>
      <c r="C80" s="10" t="s">
        <v>65</v>
      </c>
      <c r="D80" s="11"/>
      <c r="E80" s="36"/>
      <c r="F80" s="36"/>
      <c r="G80" s="36"/>
      <c r="H80" s="13">
        <f t="shared" si="4"/>
        <v>0</v>
      </c>
      <c r="I80" s="12"/>
      <c r="J80" s="14">
        <f t="shared" si="3"/>
        <v>0</v>
      </c>
      <c r="L80" s="34">
        <f t="shared" si="5"/>
        <v>0</v>
      </c>
    </row>
    <row r="81" spans="1:12" ht="15.75" x14ac:dyDescent="0.25">
      <c r="A81">
        <v>522287</v>
      </c>
      <c r="B81" s="9">
        <v>360</v>
      </c>
      <c r="C81" s="10" t="s">
        <v>66</v>
      </c>
      <c r="D81" s="11"/>
      <c r="E81" s="36"/>
      <c r="F81" s="36"/>
      <c r="G81" s="36"/>
      <c r="H81" s="13">
        <f t="shared" si="4"/>
        <v>0</v>
      </c>
      <c r="I81" s="12"/>
      <c r="J81" s="14">
        <f t="shared" si="3"/>
        <v>0</v>
      </c>
      <c r="L81" s="34">
        <f t="shared" si="5"/>
        <v>0</v>
      </c>
    </row>
    <row r="82" spans="1:12" ht="15.75" x14ac:dyDescent="0.25">
      <c r="A82">
        <v>522286</v>
      </c>
      <c r="B82" s="18">
        <v>360</v>
      </c>
      <c r="C82" s="10" t="s">
        <v>67</v>
      </c>
      <c r="D82" s="11"/>
      <c r="E82" s="36"/>
      <c r="F82" s="36"/>
      <c r="G82" s="36"/>
      <c r="H82" s="13">
        <f t="shared" si="4"/>
        <v>0</v>
      </c>
      <c r="I82" s="12"/>
      <c r="J82" s="14">
        <f t="shared" si="3"/>
        <v>0</v>
      </c>
      <c r="L82" s="34">
        <f t="shared" si="5"/>
        <v>0</v>
      </c>
    </row>
    <row r="83" spans="1:12" ht="15.75" x14ac:dyDescent="0.25">
      <c r="A83">
        <v>522278</v>
      </c>
      <c r="B83" s="18">
        <v>360</v>
      </c>
      <c r="C83" s="10" t="s">
        <v>68</v>
      </c>
      <c r="D83" s="11"/>
      <c r="E83" s="36"/>
      <c r="F83" s="36"/>
      <c r="G83" s="36"/>
      <c r="H83" s="13">
        <f t="shared" si="4"/>
        <v>0</v>
      </c>
      <c r="I83" s="12"/>
      <c r="J83" s="14">
        <f t="shared" si="3"/>
        <v>0</v>
      </c>
      <c r="L83" s="34">
        <f t="shared" si="5"/>
        <v>0</v>
      </c>
    </row>
    <row r="84" spans="1:12" ht="15.75" x14ac:dyDescent="0.25">
      <c r="B84" s="9">
        <v>360</v>
      </c>
      <c r="C84" s="10" t="s">
        <v>69</v>
      </c>
      <c r="D84" s="11"/>
      <c r="E84" s="36"/>
      <c r="F84" s="36"/>
      <c r="G84" s="36"/>
      <c r="H84" s="13">
        <f t="shared" si="4"/>
        <v>0</v>
      </c>
      <c r="I84" s="12"/>
      <c r="J84" s="14">
        <f t="shared" si="3"/>
        <v>0</v>
      </c>
      <c r="L84" s="34">
        <f t="shared" si="5"/>
        <v>0</v>
      </c>
    </row>
    <row r="85" spans="1:12" ht="15.75" x14ac:dyDescent="0.25">
      <c r="B85" s="9">
        <v>360</v>
      </c>
      <c r="C85" s="10" t="s">
        <v>70</v>
      </c>
      <c r="D85" s="11"/>
      <c r="E85" s="36"/>
      <c r="F85" s="36"/>
      <c r="G85" s="36"/>
      <c r="H85" s="13">
        <f t="shared" si="4"/>
        <v>0</v>
      </c>
      <c r="I85" s="12"/>
      <c r="J85" s="14">
        <f t="shared" si="3"/>
        <v>0</v>
      </c>
      <c r="L85" s="34">
        <f t="shared" si="5"/>
        <v>0</v>
      </c>
    </row>
    <row r="86" spans="1:12" ht="15.75" x14ac:dyDescent="0.25">
      <c r="B86" s="9">
        <v>360</v>
      </c>
      <c r="C86" s="10" t="s">
        <v>71</v>
      </c>
      <c r="D86" s="11"/>
      <c r="E86" s="36"/>
      <c r="F86" s="36"/>
      <c r="G86" s="36"/>
      <c r="H86" s="13">
        <f t="shared" si="4"/>
        <v>0</v>
      </c>
      <c r="I86" s="12"/>
      <c r="J86" s="14">
        <f t="shared" si="3"/>
        <v>0</v>
      </c>
      <c r="L86" s="34">
        <f t="shared" si="5"/>
        <v>0</v>
      </c>
    </row>
    <row r="87" spans="1:12" ht="15.75" x14ac:dyDescent="0.25">
      <c r="B87" s="9">
        <v>360</v>
      </c>
      <c r="C87" s="10" t="s">
        <v>72</v>
      </c>
      <c r="D87" s="11"/>
      <c r="E87" s="36"/>
      <c r="F87" s="36"/>
      <c r="G87" s="36"/>
      <c r="H87" s="13">
        <f t="shared" si="4"/>
        <v>0</v>
      </c>
      <c r="I87" s="12"/>
      <c r="J87" s="14">
        <f t="shared" si="3"/>
        <v>0</v>
      </c>
      <c r="L87" s="34">
        <f t="shared" si="5"/>
        <v>0</v>
      </c>
    </row>
    <row r="88" spans="1:12" ht="15.75" x14ac:dyDescent="0.25">
      <c r="A88">
        <v>522501</v>
      </c>
      <c r="B88" s="9">
        <v>625</v>
      </c>
      <c r="C88" s="10" t="s">
        <v>66</v>
      </c>
      <c r="D88" s="11">
        <v>155</v>
      </c>
      <c r="E88" s="36">
        <v>5</v>
      </c>
      <c r="F88" s="36">
        <v>9</v>
      </c>
      <c r="G88" s="36">
        <v>15</v>
      </c>
      <c r="H88" s="13">
        <f t="shared" si="4"/>
        <v>184</v>
      </c>
      <c r="I88" s="12"/>
      <c r="J88" s="14">
        <f>H88-I88</f>
        <v>184</v>
      </c>
      <c r="K88">
        <v>184</v>
      </c>
      <c r="L88" s="34">
        <f t="shared" si="5"/>
        <v>0</v>
      </c>
    </row>
    <row r="89" spans="1:12" ht="15.75" x14ac:dyDescent="0.25">
      <c r="A89">
        <v>522502</v>
      </c>
      <c r="B89" s="9">
        <v>625</v>
      </c>
      <c r="C89" s="10" t="s">
        <v>68</v>
      </c>
      <c r="D89" s="11">
        <v>189</v>
      </c>
      <c r="E89" s="36">
        <v>10</v>
      </c>
      <c r="F89" s="36">
        <v>2</v>
      </c>
      <c r="G89" s="36">
        <v>1</v>
      </c>
      <c r="H89" s="13">
        <f t="shared" si="4"/>
        <v>202</v>
      </c>
      <c r="I89" s="12"/>
      <c r="J89" s="14">
        <f t="shared" si="3"/>
        <v>202</v>
      </c>
      <c r="K89">
        <v>202</v>
      </c>
      <c r="L89" s="34">
        <f t="shared" si="5"/>
        <v>0</v>
      </c>
    </row>
    <row r="90" spans="1:12" ht="15.75" x14ac:dyDescent="0.25">
      <c r="A90">
        <v>522500</v>
      </c>
      <c r="B90" s="9">
        <v>625</v>
      </c>
      <c r="C90" s="10" t="s">
        <v>67</v>
      </c>
      <c r="D90" s="11">
        <v>124</v>
      </c>
      <c r="E90" s="36">
        <v>10</v>
      </c>
      <c r="F90" s="36"/>
      <c r="G90" s="36">
        <v>2</v>
      </c>
      <c r="H90" s="13">
        <f t="shared" si="4"/>
        <v>136</v>
      </c>
      <c r="I90" s="12"/>
      <c r="J90" s="14">
        <f t="shared" si="3"/>
        <v>136</v>
      </c>
      <c r="K90">
        <v>136</v>
      </c>
      <c r="L90" s="34">
        <f t="shared" si="5"/>
        <v>0</v>
      </c>
    </row>
    <row r="91" spans="1:12" ht="15.75" x14ac:dyDescent="0.25">
      <c r="A91">
        <v>522499</v>
      </c>
      <c r="B91" s="9">
        <v>625</v>
      </c>
      <c r="C91" s="10" t="s">
        <v>73</v>
      </c>
      <c r="D91" s="11">
        <v>110</v>
      </c>
      <c r="E91" s="36">
        <v>5</v>
      </c>
      <c r="F91" s="36">
        <v>4</v>
      </c>
      <c r="G91" s="36"/>
      <c r="H91" s="13">
        <f t="shared" si="4"/>
        <v>119</v>
      </c>
      <c r="I91" s="12"/>
      <c r="J91" s="14">
        <f t="shared" si="3"/>
        <v>119</v>
      </c>
      <c r="K91">
        <v>119</v>
      </c>
      <c r="L91" s="34">
        <f t="shared" si="5"/>
        <v>0</v>
      </c>
    </row>
    <row r="92" spans="1:12" ht="15.75" x14ac:dyDescent="0.25">
      <c r="B92" s="9">
        <v>625</v>
      </c>
      <c r="C92" s="10" t="s">
        <v>70</v>
      </c>
      <c r="D92" s="11"/>
      <c r="E92" s="36"/>
      <c r="F92" s="36"/>
      <c r="G92" s="36"/>
      <c r="H92" s="13">
        <f t="shared" si="4"/>
        <v>0</v>
      </c>
      <c r="I92" s="12"/>
      <c r="J92" s="14">
        <f t="shared" si="3"/>
        <v>0</v>
      </c>
      <c r="L92" s="34">
        <f t="shared" si="5"/>
        <v>0</v>
      </c>
    </row>
    <row r="93" spans="1:12" ht="15.75" x14ac:dyDescent="0.25">
      <c r="B93" s="9">
        <v>625</v>
      </c>
      <c r="C93" s="10" t="s">
        <v>71</v>
      </c>
      <c r="D93" s="11"/>
      <c r="E93" s="36"/>
      <c r="F93" s="36"/>
      <c r="G93" s="36"/>
      <c r="H93" s="13">
        <f t="shared" si="4"/>
        <v>0</v>
      </c>
      <c r="I93" s="12"/>
      <c r="J93" s="14">
        <f t="shared" si="3"/>
        <v>0</v>
      </c>
      <c r="L93" s="34">
        <f t="shared" si="5"/>
        <v>0</v>
      </c>
    </row>
    <row r="94" spans="1:12" ht="15.75" x14ac:dyDescent="0.25">
      <c r="A94">
        <v>522498</v>
      </c>
      <c r="B94" s="9">
        <v>625</v>
      </c>
      <c r="C94" s="10" t="s">
        <v>74</v>
      </c>
      <c r="D94" s="11"/>
      <c r="E94" s="36"/>
      <c r="F94" s="36"/>
      <c r="G94" s="36"/>
      <c r="H94" s="13">
        <f t="shared" si="4"/>
        <v>0</v>
      </c>
      <c r="I94" s="12"/>
      <c r="J94" s="14">
        <f t="shared" si="3"/>
        <v>0</v>
      </c>
      <c r="L94" s="34">
        <f t="shared" si="5"/>
        <v>0</v>
      </c>
    </row>
    <row r="95" spans="1:12" ht="15.75" x14ac:dyDescent="0.25">
      <c r="A95">
        <v>517507</v>
      </c>
      <c r="B95" s="18">
        <v>500</v>
      </c>
      <c r="C95" s="17" t="s">
        <v>75</v>
      </c>
      <c r="D95" s="11"/>
      <c r="E95" s="36"/>
      <c r="F95" s="36"/>
      <c r="G95" s="36"/>
      <c r="H95" s="13">
        <f t="shared" si="4"/>
        <v>0</v>
      </c>
      <c r="I95" s="12"/>
      <c r="J95" s="14">
        <f t="shared" si="3"/>
        <v>0</v>
      </c>
      <c r="L95" s="34">
        <f t="shared" si="5"/>
        <v>0</v>
      </c>
    </row>
    <row r="96" spans="1:12" ht="15.75" x14ac:dyDescent="0.25">
      <c r="A96">
        <v>517499</v>
      </c>
      <c r="B96" s="18">
        <v>360</v>
      </c>
      <c r="C96" s="17" t="s">
        <v>75</v>
      </c>
      <c r="D96" s="11"/>
      <c r="E96" s="36"/>
      <c r="F96" s="36"/>
      <c r="G96" s="36"/>
      <c r="H96" s="13">
        <f t="shared" si="4"/>
        <v>0</v>
      </c>
      <c r="I96" s="12"/>
      <c r="J96" s="14">
        <f t="shared" si="3"/>
        <v>0</v>
      </c>
      <c r="L96" s="34">
        <f t="shared" si="5"/>
        <v>0</v>
      </c>
    </row>
    <row r="97" spans="1:12" ht="15.75" x14ac:dyDescent="0.25">
      <c r="B97" s="9">
        <v>625</v>
      </c>
      <c r="C97" s="10" t="s">
        <v>76</v>
      </c>
      <c r="D97" s="11"/>
      <c r="E97" s="36"/>
      <c r="F97" s="36"/>
      <c r="G97" s="36"/>
      <c r="H97" s="13">
        <f t="shared" si="4"/>
        <v>0</v>
      </c>
      <c r="I97" s="12"/>
      <c r="J97" s="14">
        <f t="shared" si="3"/>
        <v>0</v>
      </c>
      <c r="L97" s="34">
        <f t="shared" si="5"/>
        <v>0</v>
      </c>
    </row>
    <row r="98" spans="1:12" ht="15.75" x14ac:dyDescent="0.25">
      <c r="B98" s="9">
        <v>3030</v>
      </c>
      <c r="C98" s="10" t="s">
        <v>76</v>
      </c>
      <c r="D98" s="11"/>
      <c r="E98" s="36"/>
      <c r="F98" s="36"/>
      <c r="G98" s="36"/>
      <c r="H98" s="13">
        <f t="shared" si="4"/>
        <v>0</v>
      </c>
      <c r="I98" s="12"/>
      <c r="J98" s="14">
        <f t="shared" si="3"/>
        <v>0</v>
      </c>
      <c r="L98" s="34">
        <f t="shared" si="5"/>
        <v>0</v>
      </c>
    </row>
    <row r="99" spans="1:12" ht="15.75" x14ac:dyDescent="0.25">
      <c r="B99" s="9">
        <v>355</v>
      </c>
      <c r="C99" s="10" t="s">
        <v>18</v>
      </c>
      <c r="D99" s="11"/>
      <c r="E99" s="36"/>
      <c r="F99" s="36"/>
      <c r="G99" s="36"/>
      <c r="H99" s="13">
        <f t="shared" si="4"/>
        <v>0</v>
      </c>
      <c r="I99" s="12"/>
      <c r="J99" s="14">
        <f t="shared" si="3"/>
        <v>0</v>
      </c>
      <c r="L99" s="34">
        <f t="shared" si="5"/>
        <v>0</v>
      </c>
    </row>
    <row r="100" spans="1:12" ht="15.75" x14ac:dyDescent="0.25">
      <c r="B100" s="9">
        <v>911</v>
      </c>
      <c r="C100" s="10" t="s">
        <v>77</v>
      </c>
      <c r="D100" s="11"/>
      <c r="E100" s="36"/>
      <c r="F100" s="36"/>
      <c r="G100" s="36"/>
      <c r="H100" s="13">
        <f t="shared" si="4"/>
        <v>0</v>
      </c>
      <c r="I100" s="12"/>
      <c r="J100" s="14">
        <f t="shared" si="3"/>
        <v>0</v>
      </c>
      <c r="L100" s="34">
        <f t="shared" si="5"/>
        <v>0</v>
      </c>
    </row>
    <row r="101" spans="1:12" ht="15.75" x14ac:dyDescent="0.25">
      <c r="A101">
        <v>500386</v>
      </c>
      <c r="B101" s="9">
        <v>355</v>
      </c>
      <c r="C101" s="10" t="s">
        <v>21</v>
      </c>
      <c r="D101" s="11"/>
      <c r="E101" s="36"/>
      <c r="F101" s="36"/>
      <c r="G101" s="36"/>
      <c r="H101" s="13">
        <f t="shared" si="4"/>
        <v>0</v>
      </c>
      <c r="I101" s="12"/>
      <c r="J101" s="14">
        <f t="shared" si="3"/>
        <v>0</v>
      </c>
      <c r="L101" s="34">
        <f t="shared" si="5"/>
        <v>0</v>
      </c>
    </row>
    <row r="102" spans="1:12" ht="15.75" x14ac:dyDescent="0.25">
      <c r="A102">
        <v>598944</v>
      </c>
      <c r="B102" s="20">
        <v>355</v>
      </c>
      <c r="C102" s="21" t="s">
        <v>14</v>
      </c>
      <c r="D102" s="11"/>
      <c r="E102" s="36"/>
      <c r="F102" s="36"/>
      <c r="G102" s="36"/>
      <c r="H102" s="13">
        <f t="shared" si="4"/>
        <v>0</v>
      </c>
      <c r="I102" s="12"/>
      <c r="J102" s="14">
        <f t="shared" si="3"/>
        <v>0</v>
      </c>
      <c r="L102" s="34">
        <f t="shared" si="5"/>
        <v>0</v>
      </c>
    </row>
    <row r="103" spans="1:12" ht="15.75" x14ac:dyDescent="0.25">
      <c r="B103" s="20">
        <v>355</v>
      </c>
      <c r="C103" s="21" t="s">
        <v>16</v>
      </c>
      <c r="D103" s="11"/>
      <c r="E103" s="36"/>
      <c r="F103" s="36"/>
      <c r="G103" s="36"/>
      <c r="H103" s="13">
        <f t="shared" si="4"/>
        <v>0</v>
      </c>
      <c r="I103" s="12"/>
      <c r="J103" s="14">
        <f t="shared" si="3"/>
        <v>0</v>
      </c>
      <c r="L103" s="34">
        <f t="shared" si="5"/>
        <v>0</v>
      </c>
    </row>
    <row r="104" spans="1:12" ht="15.75" x14ac:dyDescent="0.25">
      <c r="A104">
        <v>598947</v>
      </c>
      <c r="B104" s="20">
        <v>355</v>
      </c>
      <c r="C104" s="21" t="s">
        <v>15</v>
      </c>
      <c r="D104" s="11"/>
      <c r="E104" s="36"/>
      <c r="F104" s="36"/>
      <c r="G104" s="36"/>
      <c r="H104" s="13">
        <f t="shared" si="4"/>
        <v>0</v>
      </c>
      <c r="I104" s="12"/>
      <c r="J104" s="14">
        <v>0</v>
      </c>
      <c r="L104" s="34">
        <f t="shared" si="5"/>
        <v>0</v>
      </c>
    </row>
    <row r="105" spans="1:12" ht="15.75" x14ac:dyDescent="0.25">
      <c r="A105">
        <v>598943</v>
      </c>
      <c r="B105" s="20">
        <v>355</v>
      </c>
      <c r="C105" s="21" t="s">
        <v>17</v>
      </c>
      <c r="D105" s="11"/>
      <c r="E105" s="36"/>
      <c r="F105" s="36"/>
      <c r="G105" s="36"/>
      <c r="H105" s="13">
        <f t="shared" si="4"/>
        <v>0</v>
      </c>
      <c r="I105" s="12"/>
      <c r="J105" s="14">
        <f t="shared" si="3"/>
        <v>0</v>
      </c>
      <c r="L105" s="34">
        <f t="shared" si="5"/>
        <v>0</v>
      </c>
    </row>
    <row r="106" spans="1:12" ht="15.75" x14ac:dyDescent="0.25">
      <c r="B106" s="20">
        <v>355</v>
      </c>
      <c r="C106" s="21" t="s">
        <v>78</v>
      </c>
      <c r="D106" s="11"/>
      <c r="E106" s="36"/>
      <c r="F106" s="36"/>
      <c r="G106" s="36"/>
      <c r="H106" s="13">
        <f t="shared" si="4"/>
        <v>0</v>
      </c>
      <c r="I106" s="12"/>
      <c r="J106" s="14">
        <f t="shared" si="3"/>
        <v>0</v>
      </c>
      <c r="L106" s="34">
        <f t="shared" si="5"/>
        <v>0</v>
      </c>
    </row>
    <row r="107" spans="1:12" ht="15.75" x14ac:dyDescent="0.25">
      <c r="B107" s="20">
        <v>355</v>
      </c>
      <c r="C107" s="21" t="s">
        <v>79</v>
      </c>
      <c r="D107" s="11"/>
      <c r="E107" s="36"/>
      <c r="F107" s="36"/>
      <c r="G107" s="36"/>
      <c r="H107" s="13">
        <f t="shared" si="4"/>
        <v>0</v>
      </c>
      <c r="I107" s="12"/>
      <c r="J107" s="14">
        <f t="shared" si="3"/>
        <v>0</v>
      </c>
      <c r="L107" s="34">
        <f t="shared" si="5"/>
        <v>0</v>
      </c>
    </row>
    <row r="108" spans="1:12" ht="15.75" x14ac:dyDescent="0.25">
      <c r="B108" s="20">
        <v>355</v>
      </c>
      <c r="C108" s="21" t="s">
        <v>80</v>
      </c>
      <c r="D108" s="11"/>
      <c r="E108" s="36"/>
      <c r="F108" s="36"/>
      <c r="G108" s="36"/>
      <c r="H108" s="13">
        <f t="shared" si="4"/>
        <v>0</v>
      </c>
      <c r="I108" s="12"/>
      <c r="J108" s="14">
        <f t="shared" si="3"/>
        <v>0</v>
      </c>
      <c r="L108" s="34">
        <f t="shared" si="5"/>
        <v>0</v>
      </c>
    </row>
    <row r="109" spans="1:12" ht="15.75" x14ac:dyDescent="0.25">
      <c r="B109" s="20">
        <v>145</v>
      </c>
      <c r="C109" s="21" t="s">
        <v>70</v>
      </c>
      <c r="D109" s="11"/>
      <c r="E109" s="36"/>
      <c r="F109" s="36"/>
      <c r="G109" s="36"/>
      <c r="H109" s="13">
        <f t="shared" si="4"/>
        <v>0</v>
      </c>
      <c r="I109" s="12"/>
      <c r="J109" s="14">
        <f t="shared" si="3"/>
        <v>0</v>
      </c>
      <c r="L109" s="34">
        <f t="shared" si="5"/>
        <v>0</v>
      </c>
    </row>
    <row r="110" spans="1:12" ht="15.75" x14ac:dyDescent="0.25">
      <c r="B110" s="20">
        <v>145</v>
      </c>
      <c r="C110" s="21" t="s">
        <v>68</v>
      </c>
      <c r="D110" s="11"/>
      <c r="E110" s="36"/>
      <c r="F110" s="36"/>
      <c r="G110" s="36"/>
      <c r="H110" s="13">
        <f t="shared" si="4"/>
        <v>0</v>
      </c>
      <c r="I110" s="12"/>
      <c r="J110" s="14">
        <f t="shared" si="3"/>
        <v>0</v>
      </c>
      <c r="L110" s="34">
        <f t="shared" si="5"/>
        <v>0</v>
      </c>
    </row>
    <row r="111" spans="1:12" ht="15.75" x14ac:dyDescent="0.25">
      <c r="B111" s="20">
        <v>145</v>
      </c>
      <c r="C111" s="21" t="s">
        <v>73</v>
      </c>
      <c r="D111" s="11"/>
      <c r="E111" s="36"/>
      <c r="F111" s="36"/>
      <c r="G111" s="36"/>
      <c r="H111" s="13">
        <f t="shared" si="4"/>
        <v>0</v>
      </c>
      <c r="I111" s="12"/>
      <c r="J111" s="14">
        <f t="shared" si="3"/>
        <v>0</v>
      </c>
      <c r="L111" s="34">
        <f t="shared" si="5"/>
        <v>0</v>
      </c>
    </row>
    <row r="112" spans="1:12" ht="15.75" x14ac:dyDescent="0.25">
      <c r="B112" s="20"/>
      <c r="C112" s="21" t="s">
        <v>66</v>
      </c>
      <c r="D112" s="11"/>
      <c r="E112" s="36"/>
      <c r="F112" s="36"/>
      <c r="G112" s="36"/>
      <c r="H112" s="13">
        <f t="shared" si="4"/>
        <v>0</v>
      </c>
      <c r="I112" s="12"/>
      <c r="J112" s="14">
        <f t="shared" si="3"/>
        <v>0</v>
      </c>
      <c r="L112" s="34">
        <f t="shared" si="5"/>
        <v>0</v>
      </c>
    </row>
    <row r="113" spans="1:12" ht="15.75" x14ac:dyDescent="0.25">
      <c r="B113" s="20"/>
      <c r="C113" s="21" t="s">
        <v>81</v>
      </c>
      <c r="D113" s="11"/>
      <c r="E113" s="36"/>
      <c r="F113" s="36"/>
      <c r="G113" s="36"/>
      <c r="H113" s="13">
        <f t="shared" si="4"/>
        <v>0</v>
      </c>
      <c r="I113" s="12"/>
      <c r="J113" s="14">
        <f t="shared" si="3"/>
        <v>0</v>
      </c>
      <c r="L113" s="34">
        <f t="shared" si="5"/>
        <v>0</v>
      </c>
    </row>
    <row r="114" spans="1:12" ht="15.75" x14ac:dyDescent="0.25">
      <c r="B114" s="20"/>
      <c r="C114" s="21" t="s">
        <v>74</v>
      </c>
      <c r="D114" s="11"/>
      <c r="E114" s="36"/>
      <c r="F114" s="36"/>
      <c r="G114" s="36"/>
      <c r="H114" s="13">
        <f t="shared" si="4"/>
        <v>0</v>
      </c>
      <c r="I114" s="12"/>
      <c r="J114" s="14">
        <f t="shared" si="3"/>
        <v>0</v>
      </c>
      <c r="L114" s="34">
        <f t="shared" si="5"/>
        <v>0</v>
      </c>
    </row>
    <row r="115" spans="1:12" ht="15.75" x14ac:dyDescent="0.25">
      <c r="B115" s="20"/>
      <c r="C115" s="21" t="s">
        <v>82</v>
      </c>
      <c r="D115" s="11"/>
      <c r="E115" s="36"/>
      <c r="F115" s="36"/>
      <c r="G115" s="36"/>
      <c r="H115" s="13">
        <f t="shared" si="4"/>
        <v>0</v>
      </c>
      <c r="I115" s="12"/>
      <c r="J115" s="14">
        <f t="shared" si="3"/>
        <v>0</v>
      </c>
      <c r="L115" s="34">
        <f t="shared" si="5"/>
        <v>0</v>
      </c>
    </row>
    <row r="116" spans="1:12" ht="15.75" x14ac:dyDescent="0.25">
      <c r="B116" s="20">
        <v>250</v>
      </c>
      <c r="C116" s="21" t="s">
        <v>12</v>
      </c>
      <c r="D116" s="11"/>
      <c r="E116" s="36"/>
      <c r="F116" s="36"/>
      <c r="G116" s="36"/>
      <c r="H116" s="13">
        <f t="shared" si="4"/>
        <v>0</v>
      </c>
      <c r="I116" s="12"/>
      <c r="J116" s="14">
        <f t="shared" si="3"/>
        <v>0</v>
      </c>
      <c r="L116" s="34">
        <f t="shared" si="5"/>
        <v>0</v>
      </c>
    </row>
    <row r="117" spans="1:12" ht="15.75" x14ac:dyDescent="0.25">
      <c r="B117" s="20">
        <v>250</v>
      </c>
      <c r="C117" s="21" t="s">
        <v>83</v>
      </c>
      <c r="D117" s="11"/>
      <c r="E117" s="36"/>
      <c r="F117" s="36"/>
      <c r="G117" s="36"/>
      <c r="H117" s="13">
        <f t="shared" si="4"/>
        <v>0</v>
      </c>
      <c r="I117" s="12"/>
      <c r="J117" s="14">
        <f t="shared" si="3"/>
        <v>0</v>
      </c>
      <c r="L117" s="34">
        <f t="shared" si="5"/>
        <v>0</v>
      </c>
    </row>
    <row r="118" spans="1:12" ht="15.75" x14ac:dyDescent="0.25">
      <c r="B118" s="20">
        <v>1000</v>
      </c>
      <c r="C118" s="21" t="s">
        <v>83</v>
      </c>
      <c r="D118" s="11"/>
      <c r="E118" s="36"/>
      <c r="F118" s="36"/>
      <c r="G118" s="36"/>
      <c r="H118" s="13">
        <f t="shared" si="4"/>
        <v>0</v>
      </c>
      <c r="I118" s="12"/>
      <c r="J118" s="14">
        <f t="shared" si="3"/>
        <v>0</v>
      </c>
      <c r="L118" s="34">
        <f t="shared" si="5"/>
        <v>0</v>
      </c>
    </row>
    <row r="119" spans="1:12" ht="15.75" x14ac:dyDescent="0.25">
      <c r="B119" s="20">
        <v>250</v>
      </c>
      <c r="C119" s="21" t="s">
        <v>84</v>
      </c>
      <c r="D119" s="11"/>
      <c r="E119" s="36"/>
      <c r="F119" s="36"/>
      <c r="G119" s="36"/>
      <c r="H119" s="13">
        <f t="shared" si="4"/>
        <v>0</v>
      </c>
      <c r="I119" s="12"/>
      <c r="J119" s="14">
        <f t="shared" si="3"/>
        <v>0</v>
      </c>
      <c r="L119" s="34">
        <f t="shared" si="5"/>
        <v>0</v>
      </c>
    </row>
    <row r="120" spans="1:12" ht="15.75" x14ac:dyDescent="0.25">
      <c r="A120">
        <v>522665</v>
      </c>
      <c r="B120" s="22">
        <v>1.5</v>
      </c>
      <c r="C120" s="23" t="s">
        <v>85</v>
      </c>
      <c r="D120" s="11"/>
      <c r="E120" s="36">
        <v>1</v>
      </c>
      <c r="F120" s="36"/>
      <c r="G120" s="36"/>
      <c r="H120" s="13">
        <f t="shared" si="4"/>
        <v>1</v>
      </c>
      <c r="I120" s="12"/>
      <c r="J120" s="14">
        <f t="shared" si="3"/>
        <v>1</v>
      </c>
      <c r="K120">
        <v>6</v>
      </c>
      <c r="L120" s="38">
        <f t="shared" si="5"/>
        <v>5</v>
      </c>
    </row>
    <row r="121" spans="1:12" ht="15.75" x14ac:dyDescent="0.25">
      <c r="A121">
        <v>522664</v>
      </c>
      <c r="B121" s="20">
        <v>1.5</v>
      </c>
      <c r="C121" s="21" t="s">
        <v>86</v>
      </c>
      <c r="D121" s="11"/>
      <c r="E121" s="36"/>
      <c r="F121" s="36"/>
      <c r="G121" s="36"/>
      <c r="H121" s="13">
        <f t="shared" si="4"/>
        <v>0</v>
      </c>
      <c r="I121" s="12"/>
      <c r="J121" s="14">
        <f t="shared" si="3"/>
        <v>0</v>
      </c>
      <c r="L121" s="34">
        <f t="shared" si="5"/>
        <v>0</v>
      </c>
    </row>
    <row r="122" spans="1:12" ht="15.75" x14ac:dyDescent="0.25">
      <c r="B122" s="24">
        <v>250</v>
      </c>
      <c r="C122" s="21" t="s">
        <v>13</v>
      </c>
      <c r="D122" s="11"/>
      <c r="E122" s="36"/>
      <c r="F122" s="36"/>
      <c r="G122" s="36"/>
      <c r="H122" s="13">
        <f t="shared" si="4"/>
        <v>0</v>
      </c>
      <c r="I122" s="12"/>
      <c r="J122" s="14">
        <f t="shared" ref="J122:J183" si="6">H122-I122</f>
        <v>0</v>
      </c>
      <c r="L122" s="34">
        <f t="shared" si="5"/>
        <v>0</v>
      </c>
    </row>
    <row r="123" spans="1:12" ht="15.75" x14ac:dyDescent="0.25">
      <c r="B123" s="20">
        <v>360</v>
      </c>
      <c r="C123" s="21" t="s">
        <v>87</v>
      </c>
      <c r="D123" s="11"/>
      <c r="E123" s="36"/>
      <c r="F123" s="36"/>
      <c r="G123" s="36"/>
      <c r="H123" s="13">
        <f t="shared" si="4"/>
        <v>0</v>
      </c>
      <c r="I123" s="12"/>
      <c r="J123" s="14">
        <f t="shared" si="6"/>
        <v>0</v>
      </c>
      <c r="L123" s="34">
        <f t="shared" si="5"/>
        <v>0</v>
      </c>
    </row>
    <row r="124" spans="1:12" ht="15.75" x14ac:dyDescent="0.25">
      <c r="B124" s="20">
        <v>1000</v>
      </c>
      <c r="C124" s="21" t="s">
        <v>75</v>
      </c>
      <c r="D124" s="11"/>
      <c r="E124" s="36"/>
      <c r="F124" s="36"/>
      <c r="G124" s="36"/>
      <c r="H124" s="13">
        <f t="shared" si="4"/>
        <v>0</v>
      </c>
      <c r="I124" s="12"/>
      <c r="J124" s="14">
        <f t="shared" si="6"/>
        <v>0</v>
      </c>
      <c r="L124" s="34">
        <f t="shared" si="5"/>
        <v>0</v>
      </c>
    </row>
    <row r="125" spans="1:12" ht="15.75" x14ac:dyDescent="0.25">
      <c r="B125" s="20">
        <v>355</v>
      </c>
      <c r="C125" s="21" t="s">
        <v>88</v>
      </c>
      <c r="D125" s="11"/>
      <c r="E125" s="36"/>
      <c r="F125" s="36"/>
      <c r="G125" s="36"/>
      <c r="H125" s="13">
        <f t="shared" si="4"/>
        <v>0</v>
      </c>
      <c r="I125" s="12"/>
      <c r="J125" s="14">
        <f t="shared" si="6"/>
        <v>0</v>
      </c>
      <c r="L125" s="34">
        <f t="shared" si="5"/>
        <v>0</v>
      </c>
    </row>
    <row r="126" spans="1:12" ht="15.75" x14ac:dyDescent="0.25">
      <c r="B126" s="20">
        <v>330</v>
      </c>
      <c r="C126" s="21" t="s">
        <v>89</v>
      </c>
      <c r="D126" s="11"/>
      <c r="E126" s="36"/>
      <c r="F126" s="36"/>
      <c r="G126" s="36"/>
      <c r="H126" s="13">
        <f t="shared" si="4"/>
        <v>0</v>
      </c>
      <c r="I126" s="12"/>
      <c r="J126" s="14">
        <f t="shared" si="6"/>
        <v>0</v>
      </c>
      <c r="L126" s="34">
        <f t="shared" si="5"/>
        <v>0</v>
      </c>
    </row>
    <row r="127" spans="1:12" ht="15.75" x14ac:dyDescent="0.25">
      <c r="B127" s="20">
        <v>330</v>
      </c>
      <c r="C127" s="21" t="s">
        <v>90</v>
      </c>
      <c r="D127" s="11"/>
      <c r="E127" s="36"/>
      <c r="F127" s="36"/>
      <c r="G127" s="36"/>
      <c r="H127" s="13">
        <f t="shared" si="4"/>
        <v>0</v>
      </c>
      <c r="I127" s="12"/>
      <c r="J127" s="14">
        <f t="shared" si="6"/>
        <v>0</v>
      </c>
      <c r="L127" s="34">
        <f t="shared" si="5"/>
        <v>0</v>
      </c>
    </row>
    <row r="128" spans="1:12" ht="15.75" x14ac:dyDescent="0.25">
      <c r="B128" s="20">
        <v>330</v>
      </c>
      <c r="C128" s="21" t="s">
        <v>91</v>
      </c>
      <c r="D128" s="11"/>
      <c r="E128" s="36"/>
      <c r="F128" s="36"/>
      <c r="G128" s="36"/>
      <c r="H128" s="13">
        <f t="shared" si="4"/>
        <v>0</v>
      </c>
      <c r="I128" s="12"/>
      <c r="J128" s="14">
        <f t="shared" si="6"/>
        <v>0</v>
      </c>
      <c r="L128" s="34">
        <f t="shared" si="5"/>
        <v>0</v>
      </c>
    </row>
    <row r="129" spans="1:12" ht="15.75" x14ac:dyDescent="0.25">
      <c r="B129" s="20">
        <v>330</v>
      </c>
      <c r="C129" s="21" t="s">
        <v>92</v>
      </c>
      <c r="D129" s="11"/>
      <c r="E129" s="36"/>
      <c r="F129" s="36"/>
      <c r="G129" s="36"/>
      <c r="H129" s="13">
        <f t="shared" si="4"/>
        <v>0</v>
      </c>
      <c r="I129" s="12"/>
      <c r="J129" s="14">
        <f t="shared" si="6"/>
        <v>0</v>
      </c>
      <c r="L129" s="34">
        <f t="shared" si="5"/>
        <v>0</v>
      </c>
    </row>
    <row r="130" spans="1:12" ht="15.75" x14ac:dyDescent="0.25">
      <c r="B130" s="20">
        <v>330</v>
      </c>
      <c r="C130" s="21" t="s">
        <v>93</v>
      </c>
      <c r="D130" s="11"/>
      <c r="E130" s="36"/>
      <c r="F130" s="36"/>
      <c r="G130" s="36"/>
      <c r="H130" s="13">
        <f t="shared" si="4"/>
        <v>0</v>
      </c>
      <c r="I130" s="12"/>
      <c r="J130" s="14">
        <f t="shared" si="6"/>
        <v>0</v>
      </c>
      <c r="L130" s="34">
        <f t="shared" si="5"/>
        <v>0</v>
      </c>
    </row>
    <row r="131" spans="1:12" ht="15.75" x14ac:dyDescent="0.25">
      <c r="B131" s="20">
        <v>330</v>
      </c>
      <c r="C131" s="21" t="s">
        <v>94</v>
      </c>
      <c r="D131" s="11"/>
      <c r="E131" s="36"/>
      <c r="F131" s="36"/>
      <c r="G131" s="36"/>
      <c r="H131" s="13">
        <f t="shared" ref="H131:H183" si="7">D131+E131+F131+G131</f>
        <v>0</v>
      </c>
      <c r="I131" s="12"/>
      <c r="J131" s="14">
        <f t="shared" si="6"/>
        <v>0</v>
      </c>
      <c r="L131" s="34">
        <f t="shared" ref="L131:L183" si="8">K131-H131</f>
        <v>0</v>
      </c>
    </row>
    <row r="132" spans="1:12" ht="15.75" x14ac:dyDescent="0.25">
      <c r="B132" s="20">
        <v>330</v>
      </c>
      <c r="C132" s="21" t="s">
        <v>95</v>
      </c>
      <c r="D132" s="11"/>
      <c r="E132" s="36"/>
      <c r="F132" s="36"/>
      <c r="G132" s="36"/>
      <c r="H132" s="13">
        <f t="shared" si="7"/>
        <v>0</v>
      </c>
      <c r="I132" s="12"/>
      <c r="J132" s="14">
        <f t="shared" si="6"/>
        <v>0</v>
      </c>
      <c r="L132" s="34">
        <f t="shared" si="8"/>
        <v>0</v>
      </c>
    </row>
    <row r="133" spans="1:12" ht="15.75" x14ac:dyDescent="0.25">
      <c r="B133" s="20">
        <v>330</v>
      </c>
      <c r="C133" s="21" t="s">
        <v>96</v>
      </c>
      <c r="D133" s="11"/>
      <c r="E133" s="36"/>
      <c r="F133" s="36"/>
      <c r="G133" s="36"/>
      <c r="H133" s="13">
        <f t="shared" si="7"/>
        <v>0</v>
      </c>
      <c r="I133" s="12"/>
      <c r="J133" s="14">
        <f t="shared" si="6"/>
        <v>0</v>
      </c>
      <c r="L133" s="34">
        <f t="shared" si="8"/>
        <v>0</v>
      </c>
    </row>
    <row r="134" spans="1:12" ht="15.75" x14ac:dyDescent="0.25">
      <c r="B134" s="20">
        <v>330</v>
      </c>
      <c r="C134" s="21" t="s">
        <v>97</v>
      </c>
      <c r="D134" s="11"/>
      <c r="E134" s="36"/>
      <c r="F134" s="36"/>
      <c r="G134" s="36"/>
      <c r="H134" s="13">
        <f t="shared" si="7"/>
        <v>0</v>
      </c>
      <c r="I134" s="12"/>
      <c r="J134" s="14">
        <f t="shared" si="6"/>
        <v>0</v>
      </c>
      <c r="L134" s="34">
        <f t="shared" si="8"/>
        <v>0</v>
      </c>
    </row>
    <row r="135" spans="1:12" ht="15.75" x14ac:dyDescent="0.25">
      <c r="B135" s="20"/>
      <c r="C135" s="21" t="s">
        <v>98</v>
      </c>
      <c r="D135" s="11"/>
      <c r="E135" s="36"/>
      <c r="F135" s="36"/>
      <c r="G135" s="36"/>
      <c r="H135" s="13">
        <f t="shared" si="7"/>
        <v>0</v>
      </c>
      <c r="I135" s="12"/>
      <c r="J135" s="14">
        <f t="shared" si="6"/>
        <v>0</v>
      </c>
      <c r="L135" s="34">
        <f t="shared" si="8"/>
        <v>0</v>
      </c>
    </row>
    <row r="136" spans="1:12" ht="15.75" x14ac:dyDescent="0.25">
      <c r="B136" s="24">
        <v>473</v>
      </c>
      <c r="C136" s="21" t="s">
        <v>43</v>
      </c>
      <c r="D136" s="11"/>
      <c r="E136" s="36"/>
      <c r="F136" s="36"/>
      <c r="G136" s="36"/>
      <c r="H136" s="13">
        <f t="shared" si="7"/>
        <v>0</v>
      </c>
      <c r="I136" s="12"/>
      <c r="J136" s="14">
        <f t="shared" si="6"/>
        <v>0</v>
      </c>
      <c r="L136" s="34">
        <f t="shared" si="8"/>
        <v>0</v>
      </c>
    </row>
    <row r="137" spans="1:12" ht="15.75" x14ac:dyDescent="0.25">
      <c r="B137" s="24">
        <v>473</v>
      </c>
      <c r="C137" s="21" t="s">
        <v>45</v>
      </c>
      <c r="D137" s="11"/>
      <c r="E137" s="36"/>
      <c r="F137" s="36"/>
      <c r="G137" s="36"/>
      <c r="H137" s="13">
        <f t="shared" si="7"/>
        <v>0</v>
      </c>
      <c r="I137" s="12"/>
      <c r="J137" s="14">
        <f t="shared" si="6"/>
        <v>0</v>
      </c>
      <c r="L137" s="34">
        <f t="shared" si="8"/>
        <v>0</v>
      </c>
    </row>
    <row r="138" spans="1:12" ht="15.75" x14ac:dyDescent="0.25">
      <c r="A138">
        <v>599675</v>
      </c>
      <c r="B138" s="24">
        <v>473</v>
      </c>
      <c r="C138" s="21" t="s">
        <v>99</v>
      </c>
      <c r="D138" s="11"/>
      <c r="E138" s="36"/>
      <c r="F138" s="36"/>
      <c r="G138" s="36"/>
      <c r="H138" s="13">
        <f t="shared" si="7"/>
        <v>0</v>
      </c>
      <c r="I138" s="12"/>
      <c r="J138" s="14">
        <f t="shared" si="6"/>
        <v>0</v>
      </c>
      <c r="L138" s="34">
        <f t="shared" si="8"/>
        <v>0</v>
      </c>
    </row>
    <row r="139" spans="1:12" ht="15.75" x14ac:dyDescent="0.25">
      <c r="B139" s="20">
        <v>473</v>
      </c>
      <c r="C139" s="21" t="s">
        <v>46</v>
      </c>
      <c r="D139" s="11"/>
      <c r="E139" s="36"/>
      <c r="F139" s="36"/>
      <c r="G139" s="36"/>
      <c r="H139" s="13">
        <f t="shared" si="7"/>
        <v>0</v>
      </c>
      <c r="I139" s="12"/>
      <c r="J139" s="14">
        <f t="shared" si="6"/>
        <v>0</v>
      </c>
      <c r="L139" s="34">
        <f t="shared" si="8"/>
        <v>0</v>
      </c>
    </row>
    <row r="140" spans="1:12" ht="15.75" x14ac:dyDescent="0.25">
      <c r="A140">
        <v>522564</v>
      </c>
      <c r="B140" s="20">
        <v>473</v>
      </c>
      <c r="C140" s="21" t="s">
        <v>100</v>
      </c>
      <c r="D140" s="11"/>
      <c r="E140" s="36"/>
      <c r="F140" s="36"/>
      <c r="G140" s="36"/>
      <c r="H140" s="13">
        <f t="shared" si="7"/>
        <v>0</v>
      </c>
      <c r="I140" s="12"/>
      <c r="J140" s="14">
        <f>H140-I140</f>
        <v>0</v>
      </c>
      <c r="L140" s="34">
        <f t="shared" si="8"/>
        <v>0</v>
      </c>
    </row>
    <row r="141" spans="1:12" ht="15.75" x14ac:dyDescent="0.25">
      <c r="B141" s="20">
        <v>625</v>
      </c>
      <c r="C141" s="21" t="s">
        <v>100</v>
      </c>
      <c r="D141" s="11"/>
      <c r="E141" s="36"/>
      <c r="F141" s="36"/>
      <c r="G141" s="36"/>
      <c r="H141" s="13">
        <f t="shared" si="7"/>
        <v>0</v>
      </c>
      <c r="I141" s="12"/>
      <c r="J141" s="14">
        <f t="shared" si="6"/>
        <v>0</v>
      </c>
      <c r="L141" s="34">
        <f t="shared" si="8"/>
        <v>0</v>
      </c>
    </row>
    <row r="142" spans="1:12" ht="15.75" x14ac:dyDescent="0.25">
      <c r="A142" t="s">
        <v>101</v>
      </c>
      <c r="B142" s="20"/>
      <c r="C142" s="21" t="s">
        <v>102</v>
      </c>
      <c r="D142" s="11"/>
      <c r="E142" s="36"/>
      <c r="F142" s="36"/>
      <c r="G142" s="36"/>
      <c r="H142" s="13">
        <f t="shared" si="7"/>
        <v>0</v>
      </c>
      <c r="I142" s="12"/>
      <c r="J142" s="14">
        <f t="shared" si="6"/>
        <v>0</v>
      </c>
      <c r="L142" s="34">
        <f t="shared" si="8"/>
        <v>0</v>
      </c>
    </row>
    <row r="143" spans="1:12" ht="15.75" x14ac:dyDescent="0.25">
      <c r="B143" s="20">
        <v>400</v>
      </c>
      <c r="C143" s="21" t="s">
        <v>103</v>
      </c>
      <c r="D143" s="11"/>
      <c r="E143" s="36"/>
      <c r="F143" s="36"/>
      <c r="G143" s="36"/>
      <c r="H143" s="13">
        <f t="shared" si="7"/>
        <v>0</v>
      </c>
      <c r="I143" s="12"/>
      <c r="J143" s="14">
        <f t="shared" si="6"/>
        <v>0</v>
      </c>
      <c r="L143" s="34">
        <f t="shared" si="8"/>
        <v>0</v>
      </c>
    </row>
    <row r="144" spans="1:12" ht="15.75" x14ac:dyDescent="0.25">
      <c r="B144" s="20">
        <v>300</v>
      </c>
      <c r="C144" s="21" t="s">
        <v>43</v>
      </c>
      <c r="D144" s="11"/>
      <c r="E144" s="36"/>
      <c r="F144" s="36"/>
      <c r="G144" s="36"/>
      <c r="H144" s="13">
        <f t="shared" si="7"/>
        <v>0</v>
      </c>
      <c r="I144" s="12"/>
      <c r="J144" s="14">
        <f t="shared" si="6"/>
        <v>0</v>
      </c>
      <c r="L144" s="34">
        <f t="shared" si="8"/>
        <v>0</v>
      </c>
    </row>
    <row r="145" spans="1:12" ht="15.75" x14ac:dyDescent="0.25">
      <c r="B145" s="20">
        <v>300</v>
      </c>
      <c r="C145" s="21" t="s">
        <v>45</v>
      </c>
      <c r="D145" s="11"/>
      <c r="E145" s="36"/>
      <c r="F145" s="36"/>
      <c r="G145" s="36"/>
      <c r="H145" s="13">
        <f t="shared" si="7"/>
        <v>0</v>
      </c>
      <c r="I145" s="12"/>
      <c r="J145" s="14">
        <f t="shared" si="6"/>
        <v>0</v>
      </c>
      <c r="L145" s="34">
        <f t="shared" si="8"/>
        <v>0</v>
      </c>
    </row>
    <row r="146" spans="1:12" ht="15.75" x14ac:dyDescent="0.25">
      <c r="B146" s="20">
        <v>300</v>
      </c>
      <c r="C146" s="21" t="s">
        <v>44</v>
      </c>
      <c r="D146" s="11"/>
      <c r="E146" s="36"/>
      <c r="F146" s="36"/>
      <c r="G146" s="36"/>
      <c r="H146" s="13">
        <f t="shared" si="7"/>
        <v>0</v>
      </c>
      <c r="I146" s="12"/>
      <c r="J146" s="14">
        <f t="shared" si="6"/>
        <v>0</v>
      </c>
      <c r="L146" s="34">
        <f t="shared" si="8"/>
        <v>0</v>
      </c>
    </row>
    <row r="147" spans="1:12" ht="15.75" x14ac:dyDescent="0.25">
      <c r="B147" s="20">
        <v>1090</v>
      </c>
      <c r="C147" s="21" t="s">
        <v>11</v>
      </c>
      <c r="D147" s="11"/>
      <c r="E147" s="36"/>
      <c r="F147" s="36"/>
      <c r="G147" s="36"/>
      <c r="H147" s="13">
        <f t="shared" si="7"/>
        <v>0</v>
      </c>
      <c r="I147" s="12"/>
      <c r="J147" s="14">
        <f t="shared" si="6"/>
        <v>0</v>
      </c>
      <c r="L147" s="34">
        <f t="shared" si="8"/>
        <v>0</v>
      </c>
    </row>
    <row r="148" spans="1:12" ht="15.75" x14ac:dyDescent="0.25">
      <c r="B148" s="20">
        <v>2600</v>
      </c>
      <c r="C148" s="21" t="s">
        <v>11</v>
      </c>
      <c r="D148" s="11"/>
      <c r="E148" s="36"/>
      <c r="F148" s="36"/>
      <c r="G148" s="36"/>
      <c r="H148" s="13">
        <f t="shared" si="7"/>
        <v>0</v>
      </c>
      <c r="I148" s="12"/>
      <c r="J148" s="14">
        <f t="shared" si="6"/>
        <v>0</v>
      </c>
      <c r="L148" s="34">
        <f t="shared" si="8"/>
        <v>0</v>
      </c>
    </row>
    <row r="149" spans="1:12" ht="15.75" x14ac:dyDescent="0.25">
      <c r="B149" s="20">
        <v>250</v>
      </c>
      <c r="C149" s="21" t="s">
        <v>104</v>
      </c>
      <c r="D149" s="11"/>
      <c r="E149" s="36"/>
      <c r="F149" s="36"/>
      <c r="G149" s="36"/>
      <c r="H149" s="13">
        <f t="shared" si="7"/>
        <v>0</v>
      </c>
      <c r="I149" s="12"/>
      <c r="J149" s="14">
        <f t="shared" si="6"/>
        <v>0</v>
      </c>
      <c r="L149" s="34">
        <f t="shared" si="8"/>
        <v>0</v>
      </c>
    </row>
    <row r="150" spans="1:12" ht="15.75" x14ac:dyDescent="0.25">
      <c r="B150" s="20"/>
      <c r="C150" s="21" t="s">
        <v>105</v>
      </c>
      <c r="D150" s="11"/>
      <c r="E150" s="36"/>
      <c r="F150" s="36"/>
      <c r="G150" s="36"/>
      <c r="H150" s="13">
        <f t="shared" si="7"/>
        <v>0</v>
      </c>
      <c r="I150" s="12"/>
      <c r="J150" s="14">
        <f t="shared" si="6"/>
        <v>0</v>
      </c>
      <c r="L150" s="34">
        <f t="shared" si="8"/>
        <v>0</v>
      </c>
    </row>
    <row r="151" spans="1:12" ht="15.75" x14ac:dyDescent="0.25">
      <c r="B151" s="20"/>
      <c r="C151" s="21" t="s">
        <v>16</v>
      </c>
      <c r="D151" s="11"/>
      <c r="E151" s="36"/>
      <c r="F151" s="36"/>
      <c r="G151" s="36"/>
      <c r="H151" s="13">
        <f t="shared" si="7"/>
        <v>0</v>
      </c>
      <c r="I151" s="12"/>
      <c r="J151" s="14">
        <f t="shared" si="6"/>
        <v>0</v>
      </c>
      <c r="L151" s="34">
        <f t="shared" si="8"/>
        <v>0</v>
      </c>
    </row>
    <row r="152" spans="1:12" ht="15.75" x14ac:dyDescent="0.25">
      <c r="B152" s="20"/>
      <c r="C152" s="21" t="s">
        <v>106</v>
      </c>
      <c r="D152" s="11"/>
      <c r="E152" s="36"/>
      <c r="F152" s="36"/>
      <c r="G152" s="36"/>
      <c r="H152" s="13">
        <f t="shared" si="7"/>
        <v>0</v>
      </c>
      <c r="I152" s="12"/>
      <c r="J152" s="14">
        <f t="shared" si="6"/>
        <v>0</v>
      </c>
      <c r="L152" s="34">
        <f t="shared" si="8"/>
        <v>0</v>
      </c>
    </row>
    <row r="153" spans="1:12" ht="15.75" x14ac:dyDescent="0.25">
      <c r="B153" s="20"/>
      <c r="C153" s="21" t="s">
        <v>107</v>
      </c>
      <c r="D153" s="11"/>
      <c r="E153" s="36"/>
      <c r="F153" s="36"/>
      <c r="G153" s="36"/>
      <c r="H153" s="13">
        <f t="shared" si="7"/>
        <v>0</v>
      </c>
      <c r="I153" s="12"/>
      <c r="J153" s="14">
        <f t="shared" si="6"/>
        <v>0</v>
      </c>
      <c r="L153" s="34">
        <f t="shared" si="8"/>
        <v>0</v>
      </c>
    </row>
    <row r="154" spans="1:12" ht="15.75" x14ac:dyDescent="0.25">
      <c r="B154" s="20"/>
      <c r="C154" s="21" t="s">
        <v>108</v>
      </c>
      <c r="D154" s="11"/>
      <c r="E154" s="36"/>
      <c r="F154" s="36"/>
      <c r="G154" s="36"/>
      <c r="H154" s="13">
        <f t="shared" si="7"/>
        <v>0</v>
      </c>
      <c r="I154" s="12"/>
      <c r="J154" s="14">
        <f t="shared" si="6"/>
        <v>0</v>
      </c>
      <c r="L154" s="34">
        <f t="shared" si="8"/>
        <v>0</v>
      </c>
    </row>
    <row r="155" spans="1:12" ht="15.75" x14ac:dyDescent="0.25">
      <c r="A155">
        <v>699952</v>
      </c>
      <c r="B155" s="20"/>
      <c r="C155" s="21" t="s">
        <v>109</v>
      </c>
      <c r="D155" s="11"/>
      <c r="E155" s="36"/>
      <c r="F155" s="36"/>
      <c r="G155" s="36"/>
      <c r="H155" s="13">
        <f t="shared" si="7"/>
        <v>0</v>
      </c>
      <c r="I155" s="12"/>
      <c r="J155" s="14">
        <f t="shared" si="6"/>
        <v>0</v>
      </c>
      <c r="L155" s="34">
        <f t="shared" si="8"/>
        <v>0</v>
      </c>
    </row>
    <row r="156" spans="1:12" ht="15.75" x14ac:dyDescent="0.25">
      <c r="A156">
        <v>501020</v>
      </c>
      <c r="B156" s="24">
        <v>360</v>
      </c>
      <c r="C156" s="21" t="s">
        <v>110</v>
      </c>
      <c r="D156" s="11">
        <v>19</v>
      </c>
      <c r="E156" s="36">
        <v>7</v>
      </c>
      <c r="F156" s="36"/>
      <c r="G156" s="36">
        <v>1</v>
      </c>
      <c r="H156" s="13">
        <f t="shared" si="7"/>
        <v>27</v>
      </c>
      <c r="I156" s="12"/>
      <c r="J156" s="14">
        <f t="shared" si="6"/>
        <v>27</v>
      </c>
      <c r="K156">
        <v>27</v>
      </c>
      <c r="L156" s="34">
        <f t="shared" si="8"/>
        <v>0</v>
      </c>
    </row>
    <row r="157" spans="1:12" ht="15.75" x14ac:dyDescent="0.25">
      <c r="A157">
        <v>501505</v>
      </c>
      <c r="B157" s="24">
        <v>360</v>
      </c>
      <c r="C157" s="21" t="s">
        <v>17</v>
      </c>
      <c r="D157" s="11"/>
      <c r="E157" s="36"/>
      <c r="F157" s="36"/>
      <c r="G157" s="36"/>
      <c r="H157" s="13">
        <f t="shared" si="7"/>
        <v>0</v>
      </c>
      <c r="I157" s="12"/>
      <c r="J157" s="14">
        <f t="shared" si="6"/>
        <v>0</v>
      </c>
      <c r="L157" s="34">
        <f t="shared" si="8"/>
        <v>0</v>
      </c>
    </row>
    <row r="158" spans="1:12" ht="15.75" x14ac:dyDescent="0.25">
      <c r="B158" s="20">
        <v>250</v>
      </c>
      <c r="C158" s="21" t="s">
        <v>111</v>
      </c>
      <c r="D158" s="11"/>
      <c r="E158" s="36"/>
      <c r="F158" s="36"/>
      <c r="G158" s="36"/>
      <c r="H158" s="13">
        <f t="shared" si="7"/>
        <v>0</v>
      </c>
      <c r="I158" s="12"/>
      <c r="J158" s="14">
        <f t="shared" si="6"/>
        <v>0</v>
      </c>
      <c r="L158" s="34">
        <f t="shared" si="8"/>
        <v>0</v>
      </c>
    </row>
    <row r="159" spans="1:12" ht="15.75" x14ac:dyDescent="0.25">
      <c r="B159" s="20">
        <v>250</v>
      </c>
      <c r="C159" s="21" t="s">
        <v>112</v>
      </c>
      <c r="D159" s="11"/>
      <c r="E159" s="36"/>
      <c r="F159" s="36"/>
      <c r="G159" s="36"/>
      <c r="H159" s="13">
        <f t="shared" si="7"/>
        <v>0</v>
      </c>
      <c r="I159" s="12"/>
      <c r="J159" s="14">
        <f t="shared" si="6"/>
        <v>0</v>
      </c>
      <c r="L159" s="34">
        <f t="shared" si="8"/>
        <v>0</v>
      </c>
    </row>
    <row r="160" spans="1:12" ht="15.75" x14ac:dyDescent="0.25">
      <c r="A160">
        <v>501207</v>
      </c>
      <c r="B160" s="20">
        <v>360</v>
      </c>
      <c r="C160" s="21" t="s">
        <v>113</v>
      </c>
      <c r="D160" s="11"/>
      <c r="E160" s="36"/>
      <c r="F160" s="36"/>
      <c r="G160" s="36"/>
      <c r="H160" s="13">
        <f t="shared" si="7"/>
        <v>0</v>
      </c>
      <c r="I160" s="12"/>
      <c r="J160" s="14">
        <f t="shared" si="6"/>
        <v>0</v>
      </c>
      <c r="L160" s="34">
        <f t="shared" si="8"/>
        <v>0</v>
      </c>
    </row>
    <row r="161" spans="1:12" ht="15.75" x14ac:dyDescent="0.25">
      <c r="A161">
        <v>599858</v>
      </c>
      <c r="B161" s="22"/>
      <c r="C161" s="23" t="s">
        <v>114</v>
      </c>
      <c r="D161" s="11"/>
      <c r="E161" s="36"/>
      <c r="F161" s="36"/>
      <c r="G161" s="36"/>
      <c r="H161" s="13">
        <f t="shared" si="7"/>
        <v>0</v>
      </c>
      <c r="I161" s="12"/>
      <c r="J161" s="14">
        <f t="shared" si="6"/>
        <v>0</v>
      </c>
      <c r="L161" s="34">
        <f t="shared" si="8"/>
        <v>0</v>
      </c>
    </row>
    <row r="162" spans="1:12" ht="15.75" x14ac:dyDescent="0.25">
      <c r="A162">
        <v>599857</v>
      </c>
      <c r="B162" s="22"/>
      <c r="C162" s="23" t="s">
        <v>115</v>
      </c>
      <c r="D162" s="11"/>
      <c r="E162" s="36"/>
      <c r="F162" s="36"/>
      <c r="G162" s="36"/>
      <c r="H162" s="13">
        <f t="shared" si="7"/>
        <v>0</v>
      </c>
      <c r="I162" s="12"/>
      <c r="J162" s="14">
        <f t="shared" si="6"/>
        <v>0</v>
      </c>
      <c r="L162" s="34">
        <f t="shared" si="8"/>
        <v>0</v>
      </c>
    </row>
    <row r="163" spans="1:12" ht="15.75" x14ac:dyDescent="0.25">
      <c r="A163">
        <v>621972</v>
      </c>
      <c r="B163" s="20"/>
      <c r="C163" s="21" t="s">
        <v>116</v>
      </c>
      <c r="D163" s="11"/>
      <c r="E163" s="36"/>
      <c r="F163" s="36"/>
      <c r="G163" s="36"/>
      <c r="H163" s="13">
        <f t="shared" si="7"/>
        <v>0</v>
      </c>
      <c r="I163" s="12"/>
      <c r="J163" s="14">
        <f t="shared" si="6"/>
        <v>0</v>
      </c>
      <c r="L163" s="34">
        <f t="shared" si="8"/>
        <v>0</v>
      </c>
    </row>
    <row r="164" spans="1:12" ht="15.75" x14ac:dyDescent="0.25">
      <c r="A164">
        <v>622165</v>
      </c>
      <c r="B164" s="20"/>
      <c r="C164" s="21" t="s">
        <v>117</v>
      </c>
      <c r="D164" s="11">
        <v>1</v>
      </c>
      <c r="E164" s="36">
        <v>1</v>
      </c>
      <c r="F164" s="36"/>
      <c r="G164" s="36"/>
      <c r="H164" s="13">
        <f t="shared" si="7"/>
        <v>2</v>
      </c>
      <c r="I164" s="12"/>
      <c r="J164" s="14">
        <f t="shared" si="6"/>
        <v>2</v>
      </c>
      <c r="K164">
        <v>2</v>
      </c>
      <c r="L164" s="34">
        <f t="shared" si="8"/>
        <v>0</v>
      </c>
    </row>
    <row r="165" spans="1:12" ht="15.75" x14ac:dyDescent="0.25">
      <c r="B165" s="20">
        <v>300</v>
      </c>
      <c r="C165" s="21" t="s">
        <v>104</v>
      </c>
      <c r="D165" s="11"/>
      <c r="E165" s="36"/>
      <c r="F165" s="36"/>
      <c r="G165" s="36"/>
      <c r="H165" s="13">
        <f t="shared" si="7"/>
        <v>0</v>
      </c>
      <c r="I165" s="12"/>
      <c r="J165" s="14">
        <f t="shared" si="6"/>
        <v>0</v>
      </c>
      <c r="L165" s="34">
        <f t="shared" si="8"/>
        <v>0</v>
      </c>
    </row>
    <row r="166" spans="1:12" ht="15.75" x14ac:dyDescent="0.25">
      <c r="A166">
        <v>622164</v>
      </c>
      <c r="B166" s="20"/>
      <c r="C166" s="21" t="s">
        <v>118</v>
      </c>
      <c r="D166" s="11"/>
      <c r="E166" s="36"/>
      <c r="F166" s="36"/>
      <c r="G166" s="36"/>
      <c r="H166" s="13">
        <f t="shared" si="7"/>
        <v>0</v>
      </c>
      <c r="I166" s="12"/>
      <c r="J166" s="14">
        <f t="shared" si="6"/>
        <v>0</v>
      </c>
      <c r="L166" s="34">
        <f t="shared" si="8"/>
        <v>0</v>
      </c>
    </row>
    <row r="167" spans="1:12" ht="15.75" x14ac:dyDescent="0.25">
      <c r="A167">
        <v>621967</v>
      </c>
      <c r="B167" s="20"/>
      <c r="C167" s="21" t="s">
        <v>118</v>
      </c>
      <c r="D167" s="11">
        <v>1</v>
      </c>
      <c r="E167" s="36">
        <v>1</v>
      </c>
      <c r="F167" s="36"/>
      <c r="G167" s="36"/>
      <c r="H167" s="13">
        <f t="shared" si="7"/>
        <v>2</v>
      </c>
      <c r="I167" s="12"/>
      <c r="J167" s="14">
        <f t="shared" si="6"/>
        <v>2</v>
      </c>
      <c r="K167">
        <v>2</v>
      </c>
      <c r="L167" s="34">
        <f t="shared" si="8"/>
        <v>0</v>
      </c>
    </row>
    <row r="168" spans="1:12" ht="15.75" x14ac:dyDescent="0.25">
      <c r="A168">
        <v>500032</v>
      </c>
      <c r="B168" s="24">
        <v>360</v>
      </c>
      <c r="C168" s="21" t="s">
        <v>104</v>
      </c>
      <c r="D168" s="11">
        <v>25</v>
      </c>
      <c r="E168" s="36">
        <v>12</v>
      </c>
      <c r="F168" s="36">
        <v>3</v>
      </c>
      <c r="G168" s="36">
        <v>27</v>
      </c>
      <c r="H168" s="13">
        <f t="shared" si="7"/>
        <v>67</v>
      </c>
      <c r="I168" s="12"/>
      <c r="J168" s="14">
        <f t="shared" si="6"/>
        <v>67</v>
      </c>
      <c r="K168">
        <v>67</v>
      </c>
      <c r="L168" s="34">
        <f t="shared" si="8"/>
        <v>0</v>
      </c>
    </row>
    <row r="169" spans="1:12" ht="15.75" x14ac:dyDescent="0.25">
      <c r="A169">
        <v>522459</v>
      </c>
      <c r="B169" s="24">
        <v>360</v>
      </c>
      <c r="C169" s="21" t="s">
        <v>119</v>
      </c>
      <c r="D169" s="11">
        <v>117</v>
      </c>
      <c r="E169" s="36">
        <v>7</v>
      </c>
      <c r="F169" s="36">
        <v>3</v>
      </c>
      <c r="G169" s="36"/>
      <c r="H169" s="13">
        <f t="shared" si="7"/>
        <v>127</v>
      </c>
      <c r="I169" s="12"/>
      <c r="J169" s="14">
        <f t="shared" si="6"/>
        <v>127</v>
      </c>
      <c r="K169">
        <v>127</v>
      </c>
      <c r="L169" s="34">
        <f t="shared" si="8"/>
        <v>0</v>
      </c>
    </row>
    <row r="170" spans="1:12" ht="15.75" x14ac:dyDescent="0.25">
      <c r="A170">
        <v>522451</v>
      </c>
      <c r="B170" s="24">
        <v>360</v>
      </c>
      <c r="C170" s="21" t="s">
        <v>120</v>
      </c>
      <c r="D170" s="11">
        <v>79</v>
      </c>
      <c r="E170" s="36">
        <v>13</v>
      </c>
      <c r="F170" s="36">
        <v>16</v>
      </c>
      <c r="G170" s="36"/>
      <c r="H170" s="13">
        <f t="shared" si="7"/>
        <v>108</v>
      </c>
      <c r="I170" s="12"/>
      <c r="J170" s="14">
        <f t="shared" si="6"/>
        <v>108</v>
      </c>
      <c r="K170">
        <v>108</v>
      </c>
      <c r="L170" s="34">
        <f t="shared" si="8"/>
        <v>0</v>
      </c>
    </row>
    <row r="171" spans="1:12" ht="15.75" x14ac:dyDescent="0.25">
      <c r="A171">
        <v>522450</v>
      </c>
      <c r="B171" s="24">
        <v>360</v>
      </c>
      <c r="C171" s="21" t="s">
        <v>121</v>
      </c>
      <c r="D171" s="11">
        <v>6</v>
      </c>
      <c r="E171" s="36">
        <v>6</v>
      </c>
      <c r="F171" s="36"/>
      <c r="G171" s="36"/>
      <c r="H171" s="13">
        <f t="shared" si="7"/>
        <v>12</v>
      </c>
      <c r="I171" s="12"/>
      <c r="J171" s="14">
        <f t="shared" si="6"/>
        <v>12</v>
      </c>
      <c r="K171">
        <v>12</v>
      </c>
      <c r="L171" s="34">
        <f t="shared" si="8"/>
        <v>0</v>
      </c>
    </row>
    <row r="172" spans="1:12" ht="15.75" x14ac:dyDescent="0.25">
      <c r="A172">
        <v>522461</v>
      </c>
      <c r="B172" s="20">
        <v>360</v>
      </c>
      <c r="C172" s="21" t="s">
        <v>122</v>
      </c>
      <c r="D172" s="11"/>
      <c r="E172" s="36"/>
      <c r="F172" s="36"/>
      <c r="G172" s="36"/>
      <c r="H172" s="13">
        <f t="shared" si="7"/>
        <v>0</v>
      </c>
      <c r="I172" s="12"/>
      <c r="J172" s="14">
        <f t="shared" si="6"/>
        <v>0</v>
      </c>
      <c r="L172" s="34">
        <f t="shared" si="8"/>
        <v>0</v>
      </c>
    </row>
    <row r="173" spans="1:12" ht="15.75" x14ac:dyDescent="0.25">
      <c r="A173">
        <v>522463</v>
      </c>
      <c r="B173" s="20">
        <v>360</v>
      </c>
      <c r="C173" s="21" t="s">
        <v>123</v>
      </c>
      <c r="D173" s="11"/>
      <c r="E173" s="36"/>
      <c r="F173" s="36"/>
      <c r="G173" s="36"/>
      <c r="H173" s="13">
        <f t="shared" si="7"/>
        <v>0</v>
      </c>
      <c r="I173" s="12"/>
      <c r="J173" s="14">
        <f t="shared" si="6"/>
        <v>0</v>
      </c>
      <c r="L173" s="34">
        <f t="shared" si="8"/>
        <v>0</v>
      </c>
    </row>
    <row r="174" spans="1:12" ht="15.75" x14ac:dyDescent="0.25">
      <c r="A174">
        <v>522462</v>
      </c>
      <c r="B174" s="22">
        <v>360</v>
      </c>
      <c r="C174" s="23" t="s">
        <v>124</v>
      </c>
      <c r="D174" s="11"/>
      <c r="E174" s="36"/>
      <c r="F174" s="36"/>
      <c r="G174" s="36"/>
      <c r="H174" s="13">
        <f t="shared" si="7"/>
        <v>0</v>
      </c>
      <c r="I174" s="12"/>
      <c r="J174" s="14">
        <f t="shared" si="6"/>
        <v>0</v>
      </c>
      <c r="L174" s="34">
        <f t="shared" si="8"/>
        <v>0</v>
      </c>
    </row>
    <row r="175" spans="1:12" ht="15.75" x14ac:dyDescent="0.25">
      <c r="A175">
        <v>522460</v>
      </c>
      <c r="B175" s="22">
        <v>360</v>
      </c>
      <c r="C175" s="23" t="s">
        <v>125</v>
      </c>
      <c r="D175" s="11"/>
      <c r="E175" s="36"/>
      <c r="F175" s="36"/>
      <c r="G175" s="36"/>
      <c r="H175" s="13">
        <f t="shared" si="7"/>
        <v>0</v>
      </c>
      <c r="I175" s="12"/>
      <c r="J175" s="14">
        <f t="shared" si="6"/>
        <v>0</v>
      </c>
      <c r="L175" s="34">
        <f t="shared" si="8"/>
        <v>0</v>
      </c>
    </row>
    <row r="176" spans="1:12" ht="15.75" x14ac:dyDescent="0.25">
      <c r="A176">
        <v>522921</v>
      </c>
      <c r="B176" s="20">
        <v>600</v>
      </c>
      <c r="C176" s="21" t="s">
        <v>126</v>
      </c>
      <c r="D176" s="11"/>
      <c r="E176" s="36"/>
      <c r="F176" s="36"/>
      <c r="G176" s="36"/>
      <c r="H176" s="13">
        <f t="shared" si="7"/>
        <v>0</v>
      </c>
      <c r="I176" s="12"/>
      <c r="J176" s="14">
        <f t="shared" si="6"/>
        <v>0</v>
      </c>
      <c r="L176" s="34">
        <f t="shared" si="8"/>
        <v>0</v>
      </c>
    </row>
    <row r="177" spans="1:12" ht="15.75" x14ac:dyDescent="0.25">
      <c r="A177">
        <v>522906</v>
      </c>
      <c r="B177" s="24">
        <v>600</v>
      </c>
      <c r="C177" s="21" t="s">
        <v>121</v>
      </c>
      <c r="D177" s="11"/>
      <c r="E177" s="36"/>
      <c r="F177" s="36"/>
      <c r="G177" s="36"/>
      <c r="H177" s="13">
        <f t="shared" si="7"/>
        <v>0</v>
      </c>
      <c r="I177" s="12"/>
      <c r="J177" s="14">
        <f t="shared" si="6"/>
        <v>0</v>
      </c>
      <c r="L177" s="34">
        <f t="shared" si="8"/>
        <v>0</v>
      </c>
    </row>
    <row r="178" spans="1:12" ht="15.75" x14ac:dyDescent="0.25">
      <c r="A178">
        <v>522907</v>
      </c>
      <c r="B178" s="24">
        <v>600</v>
      </c>
      <c r="C178" s="21" t="s">
        <v>120</v>
      </c>
      <c r="D178" s="11"/>
      <c r="E178" s="36"/>
      <c r="F178" s="36"/>
      <c r="G178" s="36"/>
      <c r="H178" s="13">
        <f t="shared" si="7"/>
        <v>0</v>
      </c>
      <c r="I178" s="12"/>
      <c r="J178" s="14">
        <f t="shared" si="6"/>
        <v>0</v>
      </c>
      <c r="L178" s="34">
        <f t="shared" si="8"/>
        <v>0</v>
      </c>
    </row>
    <row r="179" spans="1:12" ht="15.75" x14ac:dyDescent="0.25">
      <c r="A179">
        <v>522499</v>
      </c>
      <c r="B179" s="20">
        <v>625</v>
      </c>
      <c r="C179" s="21" t="s">
        <v>14</v>
      </c>
      <c r="D179" s="11"/>
      <c r="E179" s="36"/>
      <c r="F179" s="36"/>
      <c r="G179" s="36"/>
      <c r="H179" s="13">
        <f t="shared" si="7"/>
        <v>0</v>
      </c>
      <c r="I179" s="12"/>
      <c r="J179" s="14">
        <f t="shared" si="6"/>
        <v>0</v>
      </c>
      <c r="L179" s="34">
        <f t="shared" si="8"/>
        <v>0</v>
      </c>
    </row>
    <row r="180" spans="1:12" ht="15.75" x14ac:dyDescent="0.25">
      <c r="A180">
        <v>522496</v>
      </c>
      <c r="B180" s="20">
        <v>625</v>
      </c>
      <c r="C180" s="21" t="s">
        <v>127</v>
      </c>
      <c r="D180" s="11"/>
      <c r="E180" s="36"/>
      <c r="F180" s="36"/>
      <c r="G180" s="36"/>
      <c r="H180" s="13">
        <f t="shared" si="7"/>
        <v>0</v>
      </c>
      <c r="I180" s="12"/>
      <c r="J180" s="14">
        <f t="shared" si="6"/>
        <v>0</v>
      </c>
      <c r="L180" s="34">
        <f t="shared" si="8"/>
        <v>0</v>
      </c>
    </row>
    <row r="181" spans="1:12" ht="15.75" x14ac:dyDescent="0.25">
      <c r="A181">
        <v>522498</v>
      </c>
      <c r="B181" s="20">
        <v>625</v>
      </c>
      <c r="C181" s="21" t="s">
        <v>128</v>
      </c>
      <c r="D181" s="11"/>
      <c r="E181" s="36"/>
      <c r="F181" s="36"/>
      <c r="G181" s="36"/>
      <c r="H181" s="13">
        <f t="shared" si="7"/>
        <v>0</v>
      </c>
      <c r="I181" s="12"/>
      <c r="J181" s="14">
        <f t="shared" si="6"/>
        <v>0</v>
      </c>
      <c r="L181" s="34">
        <f t="shared" si="8"/>
        <v>0</v>
      </c>
    </row>
    <row r="182" spans="1:12" ht="15.75" x14ac:dyDescent="0.25">
      <c r="A182">
        <v>522497</v>
      </c>
      <c r="B182" s="20">
        <v>625</v>
      </c>
      <c r="C182" s="21" t="s">
        <v>129</v>
      </c>
      <c r="D182" s="11"/>
      <c r="E182" s="36"/>
      <c r="F182" s="36"/>
      <c r="G182" s="36"/>
      <c r="H182" s="13">
        <f t="shared" si="7"/>
        <v>0</v>
      </c>
      <c r="I182" s="12"/>
      <c r="J182" s="14">
        <f t="shared" si="6"/>
        <v>0</v>
      </c>
      <c r="L182" s="34">
        <f t="shared" si="8"/>
        <v>0</v>
      </c>
    </row>
    <row r="183" spans="1:12" ht="15.75" x14ac:dyDescent="0.25">
      <c r="A183">
        <v>523188</v>
      </c>
      <c r="B183" s="20"/>
      <c r="C183" s="21" t="s">
        <v>130</v>
      </c>
      <c r="D183" s="11"/>
      <c r="E183" s="36"/>
      <c r="F183" s="36"/>
      <c r="G183" s="36">
        <v>1</v>
      </c>
      <c r="H183" s="13">
        <f t="shared" si="7"/>
        <v>1</v>
      </c>
      <c r="I183" s="12"/>
      <c r="J183" s="14">
        <f t="shared" si="6"/>
        <v>1</v>
      </c>
      <c r="K183">
        <v>1</v>
      </c>
      <c r="L183" s="34">
        <f t="shared" si="8"/>
        <v>0</v>
      </c>
    </row>
    <row r="184" spans="1:12" ht="16.5" thickBot="1" x14ac:dyDescent="0.3">
      <c r="B184" s="25"/>
      <c r="C184" s="26"/>
      <c r="D184" s="27"/>
      <c r="E184" s="28"/>
      <c r="F184" s="29"/>
      <c r="G184" s="28"/>
      <c r="H184" s="30"/>
      <c r="I184" s="28"/>
      <c r="J184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opLeftCell="A46" workbookViewId="0">
      <selection activeCell="A46" sqref="A1:XF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7.5703125" bestFit="1" customWidth="1"/>
    <col min="5" max="5" width="8.140625" bestFit="1" customWidth="1"/>
    <col min="6" max="6" width="8.140625" style="33" bestFit="1" customWidth="1"/>
    <col min="7" max="7" width="8.5703125" bestFit="1" customWidth="1"/>
    <col min="8" max="8" width="5.42578125" style="34" bestFit="1" customWidth="1"/>
    <col min="9" max="9" width="8" bestFit="1" customWidth="1"/>
    <col min="10" max="10" width="11.28515625" customWidth="1"/>
    <col min="11" max="11" width="8.7109375" customWidth="1"/>
    <col min="12" max="12" width="5.7109375" style="34" customWidth="1"/>
    <col min="13" max="13" width="5.7109375" customWidth="1"/>
  </cols>
  <sheetData>
    <row r="1" spans="1:12" ht="32.25" thickBot="1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35"/>
    </row>
    <row r="2" spans="1:12" ht="15.75" x14ac:dyDescent="0.25">
      <c r="B2" s="9">
        <v>3300</v>
      </c>
      <c r="C2" s="10" t="s">
        <v>11</v>
      </c>
      <c r="D2" s="11"/>
      <c r="E2" s="36">
        <v>0</v>
      </c>
      <c r="F2" s="36">
        <v>0</v>
      </c>
      <c r="G2" s="36">
        <v>0</v>
      </c>
      <c r="H2" s="13">
        <f>D2+E2+F2+G2</f>
        <v>0</v>
      </c>
      <c r="I2" s="12"/>
      <c r="J2" s="14">
        <f>H2-I2</f>
        <v>0</v>
      </c>
      <c r="L2" s="34">
        <f>K2-H2</f>
        <v>0</v>
      </c>
    </row>
    <row r="3" spans="1:12" ht="15.75" x14ac:dyDescent="0.25">
      <c r="B3" s="9">
        <v>3.5</v>
      </c>
      <c r="C3" s="10" t="s">
        <v>12</v>
      </c>
      <c r="D3" s="11"/>
      <c r="E3" s="36">
        <v>0</v>
      </c>
      <c r="F3" s="36">
        <v>0</v>
      </c>
      <c r="G3" s="36">
        <v>0</v>
      </c>
      <c r="H3" s="13">
        <f t="shared" ref="H3:H66" si="0">D3+E3+F3+G3</f>
        <v>0</v>
      </c>
      <c r="I3" s="12"/>
      <c r="J3" s="14">
        <f t="shared" ref="J3:J55" si="1">H3-I3</f>
        <v>0</v>
      </c>
      <c r="L3" s="34">
        <f t="shared" ref="L3:L66" si="2">K3-H3</f>
        <v>0</v>
      </c>
    </row>
    <row r="4" spans="1:12" ht="15.75" x14ac:dyDescent="0.25">
      <c r="A4">
        <v>511908</v>
      </c>
      <c r="B4" s="9">
        <v>3030</v>
      </c>
      <c r="C4" s="10" t="s">
        <v>12</v>
      </c>
      <c r="D4" s="11">
        <v>36</v>
      </c>
      <c r="E4" s="36">
        <v>7</v>
      </c>
      <c r="F4" s="36">
        <v>8</v>
      </c>
      <c r="G4" s="36">
        <v>4</v>
      </c>
      <c r="H4" s="13">
        <f t="shared" si="0"/>
        <v>55</v>
      </c>
      <c r="I4" s="12"/>
      <c r="J4" s="14">
        <f t="shared" si="1"/>
        <v>55</v>
      </c>
      <c r="K4">
        <v>55</v>
      </c>
      <c r="L4" s="34">
        <f t="shared" si="2"/>
        <v>0</v>
      </c>
    </row>
    <row r="5" spans="1:12" ht="15.75" x14ac:dyDescent="0.25">
      <c r="A5">
        <v>509671</v>
      </c>
      <c r="B5" s="9">
        <v>3030</v>
      </c>
      <c r="C5" s="10" t="s">
        <v>13</v>
      </c>
      <c r="D5" s="11">
        <v>25</v>
      </c>
      <c r="E5" s="36">
        <v>2</v>
      </c>
      <c r="F5" s="36">
        <v>7</v>
      </c>
      <c r="G5" s="36">
        <v>4</v>
      </c>
      <c r="H5" s="13">
        <f t="shared" si="0"/>
        <v>38</v>
      </c>
      <c r="I5" s="12"/>
      <c r="J5" s="14">
        <f t="shared" si="1"/>
        <v>38</v>
      </c>
      <c r="K5">
        <v>38</v>
      </c>
      <c r="L5" s="34">
        <f t="shared" si="2"/>
        <v>0</v>
      </c>
    </row>
    <row r="6" spans="1:12" ht="15.75" x14ac:dyDescent="0.25">
      <c r="A6">
        <v>500179</v>
      </c>
      <c r="B6" s="9">
        <v>3030</v>
      </c>
      <c r="C6" s="10" t="s">
        <v>11</v>
      </c>
      <c r="D6" s="11">
        <v>87</v>
      </c>
      <c r="E6" s="36">
        <v>20</v>
      </c>
      <c r="F6" s="36">
        <v>37</v>
      </c>
      <c r="G6" s="36">
        <v>91</v>
      </c>
      <c r="H6" s="13">
        <f t="shared" si="0"/>
        <v>235</v>
      </c>
      <c r="I6" s="12"/>
      <c r="J6" s="14">
        <f t="shared" si="1"/>
        <v>235</v>
      </c>
      <c r="K6">
        <v>235</v>
      </c>
      <c r="L6" s="34">
        <f t="shared" si="2"/>
        <v>0</v>
      </c>
    </row>
    <row r="7" spans="1:12" ht="15.75" x14ac:dyDescent="0.25">
      <c r="A7">
        <v>501109</v>
      </c>
      <c r="B7" s="9">
        <v>3030</v>
      </c>
      <c r="C7" s="10" t="s">
        <v>14</v>
      </c>
      <c r="D7" s="11">
        <v>13</v>
      </c>
      <c r="E7" s="36">
        <v>0</v>
      </c>
      <c r="F7" s="36">
        <v>6</v>
      </c>
      <c r="G7" s="36">
        <v>5</v>
      </c>
      <c r="H7" s="13">
        <f t="shared" si="0"/>
        <v>24</v>
      </c>
      <c r="I7" s="12"/>
      <c r="J7" s="14">
        <f t="shared" si="1"/>
        <v>24</v>
      </c>
      <c r="K7">
        <v>24</v>
      </c>
      <c r="L7" s="34">
        <f t="shared" si="2"/>
        <v>0</v>
      </c>
    </row>
    <row r="8" spans="1:12" ht="15.75" x14ac:dyDescent="0.25">
      <c r="A8">
        <v>501244</v>
      </c>
      <c r="B8" s="9">
        <v>3030</v>
      </c>
      <c r="C8" s="10" t="s">
        <v>15</v>
      </c>
      <c r="D8" s="11"/>
      <c r="E8" s="36">
        <v>0</v>
      </c>
      <c r="F8" s="36">
        <v>0</v>
      </c>
      <c r="G8" s="36">
        <v>0</v>
      </c>
      <c r="H8" s="13">
        <f t="shared" si="0"/>
        <v>0</v>
      </c>
      <c r="I8" s="12"/>
      <c r="J8" s="14">
        <f t="shared" si="1"/>
        <v>0</v>
      </c>
      <c r="L8" s="34">
        <f t="shared" si="2"/>
        <v>0</v>
      </c>
    </row>
    <row r="9" spans="1:12" ht="15.75" x14ac:dyDescent="0.25">
      <c r="A9">
        <v>501456</v>
      </c>
      <c r="B9" s="9">
        <v>3030</v>
      </c>
      <c r="C9" s="10" t="s">
        <v>16</v>
      </c>
      <c r="D9" s="11"/>
      <c r="E9" s="36">
        <v>0</v>
      </c>
      <c r="F9" s="36">
        <v>0</v>
      </c>
      <c r="G9" s="36">
        <v>0</v>
      </c>
      <c r="H9" s="13">
        <f t="shared" si="0"/>
        <v>0</v>
      </c>
      <c r="I9" s="12"/>
      <c r="J9" s="14">
        <f t="shared" si="1"/>
        <v>0</v>
      </c>
      <c r="L9" s="34">
        <f t="shared" si="2"/>
        <v>0</v>
      </c>
    </row>
    <row r="10" spans="1:12" ht="15.75" x14ac:dyDescent="0.25">
      <c r="A10">
        <v>501540</v>
      </c>
      <c r="B10" s="9">
        <v>3030</v>
      </c>
      <c r="C10" s="10" t="s">
        <v>17</v>
      </c>
      <c r="D10" s="11"/>
      <c r="E10" s="36">
        <v>0</v>
      </c>
      <c r="F10" s="36">
        <v>0</v>
      </c>
      <c r="G10" s="36">
        <v>0</v>
      </c>
      <c r="H10" s="13">
        <f t="shared" si="0"/>
        <v>0</v>
      </c>
      <c r="I10" s="12"/>
      <c r="J10" s="14">
        <f t="shared" si="1"/>
        <v>0</v>
      </c>
      <c r="L10" s="34">
        <f t="shared" si="2"/>
        <v>0</v>
      </c>
    </row>
    <row r="11" spans="1:12" ht="15.75" x14ac:dyDescent="0.25">
      <c r="B11" s="9">
        <v>3030</v>
      </c>
      <c r="C11" s="10" t="s">
        <v>18</v>
      </c>
      <c r="D11" s="11"/>
      <c r="E11" s="36">
        <v>0</v>
      </c>
      <c r="F11" s="36">
        <v>0</v>
      </c>
      <c r="G11" s="36">
        <v>0</v>
      </c>
      <c r="H11" s="13">
        <f t="shared" si="0"/>
        <v>0</v>
      </c>
      <c r="I11" s="12"/>
      <c r="J11" s="14">
        <f t="shared" si="1"/>
        <v>0</v>
      </c>
      <c r="L11" s="34">
        <f t="shared" si="2"/>
        <v>0</v>
      </c>
    </row>
    <row r="12" spans="1:12" ht="15.75" x14ac:dyDescent="0.25">
      <c r="B12" s="9">
        <v>2250</v>
      </c>
      <c r="C12" s="10" t="s">
        <v>11</v>
      </c>
      <c r="D12" s="11"/>
      <c r="E12" s="36">
        <v>0</v>
      </c>
      <c r="F12" s="36">
        <v>0</v>
      </c>
      <c r="G12" s="36">
        <v>0</v>
      </c>
      <c r="H12" s="13">
        <f t="shared" si="0"/>
        <v>0</v>
      </c>
      <c r="I12" s="12"/>
      <c r="J12" s="14">
        <f t="shared" si="1"/>
        <v>0</v>
      </c>
      <c r="L12" s="34">
        <f t="shared" si="2"/>
        <v>0</v>
      </c>
    </row>
    <row r="13" spans="1:12" ht="15.75" x14ac:dyDescent="0.25">
      <c r="B13" s="9">
        <v>2250</v>
      </c>
      <c r="C13" s="10" t="s">
        <v>19</v>
      </c>
      <c r="D13" s="11"/>
      <c r="E13" s="36">
        <v>0</v>
      </c>
      <c r="F13" s="36">
        <v>0</v>
      </c>
      <c r="G13" s="36">
        <v>0</v>
      </c>
      <c r="H13" s="13">
        <f t="shared" si="0"/>
        <v>0</v>
      </c>
      <c r="I13" s="12"/>
      <c r="J13" s="14">
        <f t="shared" si="1"/>
        <v>0</v>
      </c>
      <c r="L13" s="34">
        <f t="shared" si="2"/>
        <v>0</v>
      </c>
    </row>
    <row r="14" spans="1:12" ht="15.75" x14ac:dyDescent="0.25">
      <c r="B14" s="9">
        <v>1800</v>
      </c>
      <c r="C14" s="10" t="s">
        <v>20</v>
      </c>
      <c r="D14" s="11"/>
      <c r="E14" s="36">
        <v>0</v>
      </c>
      <c r="F14" s="36">
        <v>0</v>
      </c>
      <c r="G14" s="36">
        <v>0</v>
      </c>
      <c r="H14" s="13">
        <f t="shared" si="0"/>
        <v>0</v>
      </c>
      <c r="I14" s="12"/>
      <c r="J14" s="14">
        <f t="shared" si="1"/>
        <v>0</v>
      </c>
      <c r="L14" s="34">
        <f t="shared" si="2"/>
        <v>0</v>
      </c>
    </row>
    <row r="15" spans="1:12" ht="15.75" x14ac:dyDescent="0.25">
      <c r="B15" s="9">
        <v>1800</v>
      </c>
      <c r="C15" s="10" t="s">
        <v>21</v>
      </c>
      <c r="D15" s="11"/>
      <c r="E15" s="36">
        <v>0</v>
      </c>
      <c r="F15" s="36">
        <v>0</v>
      </c>
      <c r="G15" s="36">
        <v>0</v>
      </c>
      <c r="H15" s="13">
        <f t="shared" si="0"/>
        <v>0</v>
      </c>
      <c r="I15" s="12"/>
      <c r="J15" s="14">
        <f t="shared" si="1"/>
        <v>0</v>
      </c>
      <c r="L15" s="34">
        <f t="shared" si="2"/>
        <v>0</v>
      </c>
    </row>
    <row r="16" spans="1:12" ht="15.75" x14ac:dyDescent="0.25">
      <c r="A16">
        <v>500390</v>
      </c>
      <c r="B16" s="9">
        <v>1.3</v>
      </c>
      <c r="C16" s="10" t="s">
        <v>22</v>
      </c>
      <c r="D16" s="11">
        <v>78</v>
      </c>
      <c r="E16" s="36">
        <v>8</v>
      </c>
      <c r="F16" s="36">
        <v>14</v>
      </c>
      <c r="G16" s="36">
        <v>59</v>
      </c>
      <c r="H16" s="13">
        <f t="shared" si="0"/>
        <v>159</v>
      </c>
      <c r="I16" s="12"/>
      <c r="J16" s="14">
        <f t="shared" si="1"/>
        <v>159</v>
      </c>
      <c r="K16">
        <v>159</v>
      </c>
      <c r="L16" s="34">
        <f t="shared" si="2"/>
        <v>0</v>
      </c>
    </row>
    <row r="17" spans="1:12" ht="15.75" x14ac:dyDescent="0.25">
      <c r="B17" s="9">
        <v>1.3</v>
      </c>
      <c r="C17" s="10" t="s">
        <v>23</v>
      </c>
      <c r="D17" s="11"/>
      <c r="E17" s="36">
        <v>0</v>
      </c>
      <c r="F17" s="36">
        <v>0</v>
      </c>
      <c r="G17" s="36">
        <v>0</v>
      </c>
      <c r="H17" s="13">
        <f t="shared" si="0"/>
        <v>0</v>
      </c>
      <c r="I17" s="12"/>
      <c r="J17" s="14">
        <f t="shared" si="1"/>
        <v>0</v>
      </c>
      <c r="L17" s="34">
        <f t="shared" si="2"/>
        <v>0</v>
      </c>
    </row>
    <row r="18" spans="1:12" ht="15.75" x14ac:dyDescent="0.25">
      <c r="B18" s="9">
        <v>1.3</v>
      </c>
      <c r="C18" s="10" t="s">
        <v>24</v>
      </c>
      <c r="D18" s="11"/>
      <c r="E18" s="36">
        <v>0</v>
      </c>
      <c r="F18" s="36">
        <v>0</v>
      </c>
      <c r="G18" s="36">
        <v>0</v>
      </c>
      <c r="H18" s="13">
        <f t="shared" si="0"/>
        <v>0</v>
      </c>
      <c r="I18" s="12"/>
      <c r="J18" s="14">
        <f t="shared" si="1"/>
        <v>0</v>
      </c>
      <c r="L18" s="34">
        <f t="shared" si="2"/>
        <v>0</v>
      </c>
    </row>
    <row r="19" spans="1:12" ht="15.75" x14ac:dyDescent="0.25">
      <c r="A19">
        <v>511927</v>
      </c>
      <c r="B19" s="9">
        <v>1.3</v>
      </c>
      <c r="C19" s="10" t="s">
        <v>25</v>
      </c>
      <c r="D19" s="11">
        <v>44</v>
      </c>
      <c r="E19" s="36">
        <v>6</v>
      </c>
      <c r="F19" s="36">
        <v>6</v>
      </c>
      <c r="G19" s="36">
        <v>6</v>
      </c>
      <c r="H19" s="13">
        <f t="shared" si="0"/>
        <v>62</v>
      </c>
      <c r="I19" s="12"/>
      <c r="J19" s="14">
        <f t="shared" si="1"/>
        <v>62</v>
      </c>
      <c r="K19">
        <v>62</v>
      </c>
      <c r="L19" s="34">
        <f t="shared" si="2"/>
        <v>0</v>
      </c>
    </row>
    <row r="20" spans="1:12" ht="15.75" x14ac:dyDescent="0.25">
      <c r="A20">
        <v>509919</v>
      </c>
      <c r="B20" s="9">
        <v>1.3</v>
      </c>
      <c r="C20" s="10" t="s">
        <v>26</v>
      </c>
      <c r="D20" s="11"/>
      <c r="E20" s="36">
        <v>0</v>
      </c>
      <c r="F20" s="36">
        <v>0</v>
      </c>
      <c r="G20" s="36">
        <v>0</v>
      </c>
      <c r="H20" s="13">
        <f t="shared" si="0"/>
        <v>0</v>
      </c>
      <c r="I20" s="12"/>
      <c r="J20" s="14">
        <f t="shared" si="1"/>
        <v>0</v>
      </c>
      <c r="L20" s="34">
        <f t="shared" si="2"/>
        <v>0</v>
      </c>
    </row>
    <row r="21" spans="1:12" ht="15.75" x14ac:dyDescent="0.25">
      <c r="B21" s="9">
        <v>1300</v>
      </c>
      <c r="C21" s="10" t="s">
        <v>27</v>
      </c>
      <c r="D21" s="11"/>
      <c r="E21" s="36">
        <v>0</v>
      </c>
      <c r="F21" s="36">
        <v>0</v>
      </c>
      <c r="G21" s="36">
        <v>0</v>
      </c>
      <c r="H21" s="13">
        <f t="shared" si="0"/>
        <v>0</v>
      </c>
      <c r="I21" s="12"/>
      <c r="J21" s="14">
        <f t="shared" si="1"/>
        <v>0</v>
      </c>
      <c r="L21" s="34">
        <f t="shared" si="2"/>
        <v>0</v>
      </c>
    </row>
    <row r="22" spans="1:12" ht="15.75" x14ac:dyDescent="0.25">
      <c r="A22">
        <v>500094</v>
      </c>
      <c r="B22" s="9">
        <v>1000</v>
      </c>
      <c r="C22" s="10" t="s">
        <v>11</v>
      </c>
      <c r="D22" s="11"/>
      <c r="E22" s="36">
        <v>0</v>
      </c>
      <c r="F22" s="36">
        <v>0</v>
      </c>
      <c r="G22" s="36">
        <v>0</v>
      </c>
      <c r="H22" s="13">
        <f t="shared" si="0"/>
        <v>0</v>
      </c>
      <c r="I22" s="12"/>
      <c r="J22" s="14">
        <f t="shared" si="1"/>
        <v>0</v>
      </c>
      <c r="L22" s="34">
        <f t="shared" si="2"/>
        <v>0</v>
      </c>
    </row>
    <row r="23" spans="1:12" ht="15.75" x14ac:dyDescent="0.25">
      <c r="A23">
        <v>599038</v>
      </c>
      <c r="B23" s="9">
        <v>625</v>
      </c>
      <c r="C23" s="10" t="s">
        <v>28</v>
      </c>
      <c r="D23" s="11"/>
      <c r="E23" s="36">
        <v>0</v>
      </c>
      <c r="F23" s="36">
        <v>2</v>
      </c>
      <c r="G23" s="36">
        <v>0</v>
      </c>
      <c r="H23" s="13">
        <f t="shared" si="0"/>
        <v>2</v>
      </c>
      <c r="I23" s="12"/>
      <c r="J23" s="14">
        <f t="shared" si="1"/>
        <v>2</v>
      </c>
      <c r="K23">
        <v>2</v>
      </c>
      <c r="L23" s="34">
        <f t="shared" si="2"/>
        <v>0</v>
      </c>
    </row>
    <row r="24" spans="1:12" ht="15.75" x14ac:dyDescent="0.25">
      <c r="A24">
        <v>500303</v>
      </c>
      <c r="B24" s="9">
        <v>625</v>
      </c>
      <c r="C24" s="10" t="s">
        <v>29</v>
      </c>
      <c r="D24" s="11">
        <v>79</v>
      </c>
      <c r="E24" s="36">
        <v>5</v>
      </c>
      <c r="F24" s="36">
        <v>4</v>
      </c>
      <c r="G24" s="36">
        <v>46</v>
      </c>
      <c r="H24" s="13">
        <f t="shared" si="0"/>
        <v>134</v>
      </c>
      <c r="I24" s="12"/>
      <c r="J24" s="14">
        <f t="shared" si="1"/>
        <v>134</v>
      </c>
      <c r="K24">
        <v>136</v>
      </c>
      <c r="L24" s="34">
        <f t="shared" si="2"/>
        <v>2</v>
      </c>
    </row>
    <row r="25" spans="1:12" ht="15.75" x14ac:dyDescent="0.25">
      <c r="A25">
        <v>599037</v>
      </c>
      <c r="B25" s="9">
        <v>625</v>
      </c>
      <c r="C25" s="10" t="s">
        <v>30</v>
      </c>
      <c r="D25" s="11"/>
      <c r="E25" s="36">
        <v>0</v>
      </c>
      <c r="F25" s="36">
        <v>0</v>
      </c>
      <c r="G25" s="36">
        <v>0</v>
      </c>
      <c r="H25" s="13">
        <f t="shared" si="0"/>
        <v>0</v>
      </c>
      <c r="I25" s="12"/>
      <c r="J25" s="14">
        <f t="shared" si="1"/>
        <v>0</v>
      </c>
      <c r="L25" s="34">
        <f t="shared" si="2"/>
        <v>0</v>
      </c>
    </row>
    <row r="26" spans="1:12" ht="15.75" x14ac:dyDescent="0.25">
      <c r="A26">
        <v>599036</v>
      </c>
      <c r="B26" s="9">
        <v>625</v>
      </c>
      <c r="C26" s="10" t="s">
        <v>31</v>
      </c>
      <c r="D26" s="11"/>
      <c r="E26" s="36">
        <v>0</v>
      </c>
      <c r="F26" s="36">
        <v>0</v>
      </c>
      <c r="G26" s="36">
        <v>0</v>
      </c>
      <c r="H26" s="13">
        <f t="shared" si="0"/>
        <v>0</v>
      </c>
      <c r="I26" s="12"/>
      <c r="J26" s="14">
        <f t="shared" si="1"/>
        <v>0</v>
      </c>
      <c r="L26" s="34">
        <f t="shared" si="2"/>
        <v>0</v>
      </c>
    </row>
    <row r="27" spans="1:12" ht="15.75" x14ac:dyDescent="0.25">
      <c r="A27">
        <v>599035</v>
      </c>
      <c r="B27" s="9">
        <v>625</v>
      </c>
      <c r="C27" s="10" t="s">
        <v>32</v>
      </c>
      <c r="D27" s="11">
        <v>1</v>
      </c>
      <c r="E27" s="36">
        <v>0</v>
      </c>
      <c r="F27" s="36">
        <v>1</v>
      </c>
      <c r="G27" s="36">
        <v>3</v>
      </c>
      <c r="H27" s="13">
        <f t="shared" si="0"/>
        <v>5</v>
      </c>
      <c r="I27" s="12"/>
      <c r="J27" s="14">
        <f t="shared" si="1"/>
        <v>5</v>
      </c>
      <c r="K27">
        <v>5</v>
      </c>
      <c r="L27" s="34">
        <f t="shared" si="2"/>
        <v>0</v>
      </c>
    </row>
    <row r="28" spans="1:12" ht="15.75" x14ac:dyDescent="0.25">
      <c r="B28" s="9">
        <v>625</v>
      </c>
      <c r="C28" s="10" t="s">
        <v>33</v>
      </c>
      <c r="D28" s="11"/>
      <c r="E28" s="36">
        <v>0</v>
      </c>
      <c r="F28" s="36">
        <v>0</v>
      </c>
      <c r="G28" s="36">
        <v>0</v>
      </c>
      <c r="H28" s="13">
        <f t="shared" si="0"/>
        <v>0</v>
      </c>
      <c r="I28" s="12"/>
      <c r="J28" s="14">
        <f t="shared" si="1"/>
        <v>0</v>
      </c>
      <c r="L28" s="34">
        <f t="shared" si="2"/>
        <v>0</v>
      </c>
    </row>
    <row r="29" spans="1:12" ht="15.75" x14ac:dyDescent="0.25">
      <c r="B29" s="9">
        <v>625</v>
      </c>
      <c r="C29" s="10" t="s">
        <v>27</v>
      </c>
      <c r="D29" s="11"/>
      <c r="E29" s="36">
        <v>0</v>
      </c>
      <c r="F29" s="36">
        <v>0</v>
      </c>
      <c r="G29" s="36">
        <v>0</v>
      </c>
      <c r="H29" s="13">
        <f t="shared" si="0"/>
        <v>0</v>
      </c>
      <c r="I29" s="12"/>
      <c r="J29" s="14">
        <f t="shared" si="1"/>
        <v>0</v>
      </c>
      <c r="L29" s="34">
        <f t="shared" si="2"/>
        <v>0</v>
      </c>
    </row>
    <row r="30" spans="1:12" ht="15.75" x14ac:dyDescent="0.25">
      <c r="B30" s="15">
        <v>400</v>
      </c>
      <c r="C30" s="16" t="s">
        <v>11</v>
      </c>
      <c r="D30" s="11"/>
      <c r="E30" s="36">
        <v>0</v>
      </c>
      <c r="F30" s="36">
        <v>0</v>
      </c>
      <c r="G30" s="36">
        <v>0</v>
      </c>
      <c r="H30" s="13">
        <f t="shared" si="0"/>
        <v>0</v>
      </c>
      <c r="I30" s="12"/>
      <c r="J30" s="14">
        <f t="shared" si="1"/>
        <v>0</v>
      </c>
      <c r="L30" s="34">
        <f t="shared" si="2"/>
        <v>0</v>
      </c>
    </row>
    <row r="31" spans="1:12" ht="15.75" x14ac:dyDescent="0.25">
      <c r="B31" s="9">
        <v>400</v>
      </c>
      <c r="C31" s="10" t="s">
        <v>14</v>
      </c>
      <c r="D31" s="11"/>
      <c r="E31" s="36">
        <v>0</v>
      </c>
      <c r="F31" s="36">
        <v>0</v>
      </c>
      <c r="G31" s="36">
        <v>0</v>
      </c>
      <c r="H31" s="13">
        <f t="shared" si="0"/>
        <v>0</v>
      </c>
      <c r="I31" s="12"/>
      <c r="J31" s="14">
        <f t="shared" si="1"/>
        <v>0</v>
      </c>
      <c r="L31" s="34">
        <f t="shared" si="2"/>
        <v>0</v>
      </c>
    </row>
    <row r="32" spans="1:12" ht="15.75" x14ac:dyDescent="0.25">
      <c r="B32" s="9">
        <v>400</v>
      </c>
      <c r="C32" s="10" t="s">
        <v>16</v>
      </c>
      <c r="D32" s="11"/>
      <c r="E32" s="36">
        <v>0</v>
      </c>
      <c r="F32" s="36">
        <v>0</v>
      </c>
      <c r="G32" s="36">
        <v>0</v>
      </c>
      <c r="H32" s="13">
        <f t="shared" si="0"/>
        <v>0</v>
      </c>
      <c r="I32" s="12"/>
      <c r="J32" s="14">
        <f t="shared" si="1"/>
        <v>0</v>
      </c>
      <c r="L32" s="34">
        <f t="shared" si="2"/>
        <v>0</v>
      </c>
    </row>
    <row r="33" spans="1:12" ht="15.75" x14ac:dyDescent="0.25">
      <c r="A33">
        <v>522495</v>
      </c>
      <c r="B33" s="9">
        <v>360</v>
      </c>
      <c r="C33" s="10" t="s">
        <v>34</v>
      </c>
      <c r="D33" s="11"/>
      <c r="E33" s="36">
        <v>0</v>
      </c>
      <c r="F33" s="36">
        <v>0</v>
      </c>
      <c r="G33" s="36">
        <v>0</v>
      </c>
      <c r="H33" s="13">
        <f t="shared" si="0"/>
        <v>0</v>
      </c>
      <c r="I33" s="12"/>
      <c r="J33" s="14">
        <f t="shared" si="1"/>
        <v>0</v>
      </c>
      <c r="L33" s="34">
        <f t="shared" si="2"/>
        <v>0</v>
      </c>
    </row>
    <row r="34" spans="1:12" ht="15.75" x14ac:dyDescent="0.25">
      <c r="A34">
        <v>501504</v>
      </c>
      <c r="B34" s="9">
        <v>360</v>
      </c>
      <c r="C34" s="10" t="s">
        <v>35</v>
      </c>
      <c r="D34" s="11"/>
      <c r="E34" s="36">
        <v>8</v>
      </c>
      <c r="F34" s="36">
        <v>9</v>
      </c>
      <c r="G34" s="36">
        <v>0</v>
      </c>
      <c r="H34" s="13">
        <f t="shared" si="0"/>
        <v>17</v>
      </c>
      <c r="I34" s="12"/>
      <c r="J34" s="14">
        <f t="shared" si="1"/>
        <v>17</v>
      </c>
      <c r="K34">
        <v>17</v>
      </c>
      <c r="L34" s="34">
        <f t="shared" si="2"/>
        <v>0</v>
      </c>
    </row>
    <row r="35" spans="1:12" ht="15.75" x14ac:dyDescent="0.25">
      <c r="A35">
        <v>500713</v>
      </c>
      <c r="B35" s="9">
        <v>360</v>
      </c>
      <c r="C35" s="10" t="s">
        <v>36</v>
      </c>
      <c r="D35" s="11"/>
      <c r="E35" s="36">
        <v>0</v>
      </c>
      <c r="F35" s="36">
        <v>0</v>
      </c>
      <c r="G35" s="36">
        <v>0</v>
      </c>
      <c r="H35" s="13">
        <f t="shared" si="0"/>
        <v>0</v>
      </c>
      <c r="I35" s="12"/>
      <c r="J35" s="14">
        <f t="shared" si="1"/>
        <v>0</v>
      </c>
      <c r="L35" s="34">
        <f t="shared" si="2"/>
        <v>0</v>
      </c>
    </row>
    <row r="36" spans="1:12" ht="15.75" x14ac:dyDescent="0.25">
      <c r="A36">
        <v>523271</v>
      </c>
      <c r="B36" s="9">
        <v>400</v>
      </c>
      <c r="C36" s="17" t="s">
        <v>20</v>
      </c>
      <c r="D36" s="11">
        <v>1</v>
      </c>
      <c r="E36" s="36">
        <v>0</v>
      </c>
      <c r="F36" s="36">
        <v>0</v>
      </c>
      <c r="G36" s="36">
        <v>0</v>
      </c>
      <c r="H36" s="13">
        <f t="shared" si="0"/>
        <v>1</v>
      </c>
      <c r="I36" s="12"/>
      <c r="J36" s="14">
        <f t="shared" si="1"/>
        <v>1</v>
      </c>
      <c r="K36">
        <v>1</v>
      </c>
      <c r="L36" s="34">
        <f t="shared" si="2"/>
        <v>0</v>
      </c>
    </row>
    <row r="37" spans="1:12" ht="15.75" x14ac:dyDescent="0.25">
      <c r="A37">
        <v>521721</v>
      </c>
      <c r="B37" s="9">
        <v>400</v>
      </c>
      <c r="C37" s="17" t="s">
        <v>13</v>
      </c>
      <c r="D37" s="11"/>
      <c r="E37" s="36">
        <v>38</v>
      </c>
      <c r="F37" s="36">
        <v>11</v>
      </c>
      <c r="G37" s="36">
        <v>40</v>
      </c>
      <c r="H37" s="13">
        <f t="shared" si="0"/>
        <v>89</v>
      </c>
      <c r="I37" s="12"/>
      <c r="J37" s="14">
        <f t="shared" si="1"/>
        <v>89</v>
      </c>
      <c r="K37">
        <v>89</v>
      </c>
      <c r="L37" s="34">
        <f t="shared" si="2"/>
        <v>0</v>
      </c>
    </row>
    <row r="38" spans="1:12" ht="15.75" x14ac:dyDescent="0.25">
      <c r="B38" s="9">
        <v>360</v>
      </c>
      <c r="C38" s="10" t="s">
        <v>27</v>
      </c>
      <c r="D38" s="11"/>
      <c r="E38" s="36">
        <v>0</v>
      </c>
      <c r="F38" s="36">
        <v>0</v>
      </c>
      <c r="G38" s="36">
        <v>0</v>
      </c>
      <c r="H38" s="13">
        <f t="shared" si="0"/>
        <v>0</v>
      </c>
      <c r="I38" s="12"/>
      <c r="J38" s="14">
        <f t="shared" si="1"/>
        <v>0</v>
      </c>
      <c r="L38" s="34">
        <f t="shared" si="2"/>
        <v>0</v>
      </c>
    </row>
    <row r="39" spans="1:12" ht="15.75" x14ac:dyDescent="0.25">
      <c r="B39" s="9">
        <v>360</v>
      </c>
      <c r="C39" s="10" t="s">
        <v>37</v>
      </c>
      <c r="D39" s="11"/>
      <c r="E39" s="36">
        <v>0</v>
      </c>
      <c r="F39" s="36">
        <v>0</v>
      </c>
      <c r="G39" s="36">
        <v>0</v>
      </c>
      <c r="H39" s="13">
        <f t="shared" si="0"/>
        <v>0</v>
      </c>
      <c r="I39" s="12"/>
      <c r="J39" s="14">
        <f t="shared" si="1"/>
        <v>0</v>
      </c>
      <c r="L39" s="34">
        <f t="shared" si="2"/>
        <v>0</v>
      </c>
    </row>
    <row r="40" spans="1:12" ht="15.75" x14ac:dyDescent="0.25">
      <c r="B40" s="9">
        <v>360</v>
      </c>
      <c r="C40" s="10" t="s">
        <v>38</v>
      </c>
      <c r="D40" s="11"/>
      <c r="E40" s="36">
        <v>0</v>
      </c>
      <c r="F40" s="36">
        <v>0</v>
      </c>
      <c r="G40" s="36">
        <v>0</v>
      </c>
      <c r="H40" s="13">
        <f t="shared" si="0"/>
        <v>0</v>
      </c>
      <c r="I40" s="12"/>
      <c r="J40" s="14">
        <f t="shared" si="1"/>
        <v>0</v>
      </c>
      <c r="L40" s="34">
        <f t="shared" si="2"/>
        <v>0</v>
      </c>
    </row>
    <row r="41" spans="1:12" ht="15.75" x14ac:dyDescent="0.25">
      <c r="B41" s="9">
        <v>375</v>
      </c>
      <c r="C41" s="10" t="s">
        <v>39</v>
      </c>
      <c r="D41" s="11"/>
      <c r="E41" s="36">
        <v>0</v>
      </c>
      <c r="F41" s="36">
        <v>0</v>
      </c>
      <c r="G41" s="36">
        <v>0</v>
      </c>
      <c r="H41" s="13">
        <f t="shared" si="0"/>
        <v>0</v>
      </c>
      <c r="I41" s="12"/>
      <c r="J41" s="14">
        <f t="shared" si="1"/>
        <v>0</v>
      </c>
      <c r="L41" s="34">
        <f t="shared" si="2"/>
        <v>0</v>
      </c>
    </row>
    <row r="42" spans="1:12" ht="15.75" x14ac:dyDescent="0.25">
      <c r="A42">
        <v>598908</v>
      </c>
      <c r="B42" s="9">
        <v>355</v>
      </c>
      <c r="C42" s="10" t="s">
        <v>40</v>
      </c>
      <c r="D42" s="11"/>
      <c r="E42" s="36">
        <v>0</v>
      </c>
      <c r="F42" s="36">
        <v>0</v>
      </c>
      <c r="G42" s="36">
        <v>0</v>
      </c>
      <c r="H42" s="13">
        <f t="shared" si="0"/>
        <v>0</v>
      </c>
      <c r="I42" s="12"/>
      <c r="J42" s="14">
        <f t="shared" si="1"/>
        <v>0</v>
      </c>
      <c r="L42" s="34">
        <f t="shared" si="2"/>
        <v>0</v>
      </c>
    </row>
    <row r="43" spans="1:12" ht="15.75" x14ac:dyDescent="0.25">
      <c r="A43">
        <v>599149</v>
      </c>
      <c r="B43" s="9">
        <v>300</v>
      </c>
      <c r="C43" s="17" t="s">
        <v>41</v>
      </c>
      <c r="D43" s="11">
        <v>10</v>
      </c>
      <c r="E43" s="36">
        <v>4</v>
      </c>
      <c r="F43" s="36">
        <v>7</v>
      </c>
      <c r="G43" s="36">
        <v>5</v>
      </c>
      <c r="H43" s="13">
        <f t="shared" si="0"/>
        <v>26</v>
      </c>
      <c r="I43" s="12"/>
      <c r="J43" s="14">
        <f t="shared" si="1"/>
        <v>26</v>
      </c>
      <c r="K43">
        <v>26</v>
      </c>
      <c r="L43" s="34">
        <f t="shared" si="2"/>
        <v>0</v>
      </c>
    </row>
    <row r="44" spans="1:12" ht="15.75" x14ac:dyDescent="0.25">
      <c r="B44" s="9">
        <v>355</v>
      </c>
      <c r="C44" s="10" t="s">
        <v>42</v>
      </c>
      <c r="D44" s="11"/>
      <c r="E44" s="36">
        <v>0</v>
      </c>
      <c r="F44" s="36">
        <v>0</v>
      </c>
      <c r="G44" s="36">
        <v>0</v>
      </c>
      <c r="H44" s="13">
        <f t="shared" si="0"/>
        <v>0</v>
      </c>
      <c r="I44" s="12"/>
      <c r="J44" s="14">
        <f t="shared" si="1"/>
        <v>0</v>
      </c>
      <c r="L44" s="34">
        <f t="shared" si="2"/>
        <v>0</v>
      </c>
    </row>
    <row r="45" spans="1:12" ht="15.75" x14ac:dyDescent="0.25">
      <c r="B45" s="9">
        <v>355</v>
      </c>
      <c r="C45" s="10" t="s">
        <v>43</v>
      </c>
      <c r="D45" s="11"/>
      <c r="E45" s="36">
        <v>0</v>
      </c>
      <c r="F45" s="36">
        <v>0</v>
      </c>
      <c r="G45" s="36">
        <v>0</v>
      </c>
      <c r="H45" s="13">
        <f t="shared" si="0"/>
        <v>0</v>
      </c>
      <c r="I45" s="12"/>
      <c r="J45" s="14">
        <f t="shared" si="1"/>
        <v>0</v>
      </c>
      <c r="L45" s="34">
        <f t="shared" si="2"/>
        <v>0</v>
      </c>
    </row>
    <row r="46" spans="1:12" ht="15.75" x14ac:dyDescent="0.25">
      <c r="B46" s="9">
        <v>355</v>
      </c>
      <c r="C46" s="10" t="s">
        <v>44</v>
      </c>
      <c r="D46" s="11"/>
      <c r="E46" s="36">
        <v>0</v>
      </c>
      <c r="F46" s="36">
        <v>0</v>
      </c>
      <c r="G46" s="36">
        <v>0</v>
      </c>
      <c r="H46" s="13">
        <f t="shared" si="0"/>
        <v>0</v>
      </c>
      <c r="I46" s="12"/>
      <c r="J46" s="14">
        <f t="shared" si="1"/>
        <v>0</v>
      </c>
      <c r="L46" s="34">
        <f t="shared" si="2"/>
        <v>0</v>
      </c>
    </row>
    <row r="47" spans="1:12" ht="15.75" x14ac:dyDescent="0.25">
      <c r="B47" s="9">
        <v>355</v>
      </c>
      <c r="C47" s="10" t="s">
        <v>45</v>
      </c>
      <c r="D47" s="11"/>
      <c r="E47" s="36">
        <v>0</v>
      </c>
      <c r="F47" s="36">
        <v>0</v>
      </c>
      <c r="G47" s="36">
        <v>0</v>
      </c>
      <c r="H47" s="13">
        <f t="shared" si="0"/>
        <v>0</v>
      </c>
      <c r="I47" s="12"/>
      <c r="J47" s="14">
        <f t="shared" si="1"/>
        <v>0</v>
      </c>
      <c r="L47" s="34">
        <f t="shared" si="2"/>
        <v>0</v>
      </c>
    </row>
    <row r="48" spans="1:12" ht="15.75" x14ac:dyDescent="0.25">
      <c r="B48" s="9">
        <v>355</v>
      </c>
      <c r="C48" s="10" t="s">
        <v>46</v>
      </c>
      <c r="D48" s="11"/>
      <c r="E48" s="36">
        <v>0</v>
      </c>
      <c r="F48" s="36">
        <v>0</v>
      </c>
      <c r="G48" s="36">
        <v>0</v>
      </c>
      <c r="H48" s="13">
        <f t="shared" si="0"/>
        <v>0</v>
      </c>
      <c r="I48" s="12"/>
      <c r="J48" s="14">
        <f t="shared" si="1"/>
        <v>0</v>
      </c>
      <c r="L48" s="34">
        <f t="shared" si="2"/>
        <v>0</v>
      </c>
    </row>
    <row r="49" spans="1:12" ht="15.75" x14ac:dyDescent="0.25">
      <c r="B49" s="9">
        <v>625</v>
      </c>
      <c r="C49" s="10" t="s">
        <v>41</v>
      </c>
      <c r="D49" s="11"/>
      <c r="E49" s="36">
        <v>0</v>
      </c>
      <c r="F49" s="36">
        <v>0</v>
      </c>
      <c r="G49" s="36">
        <v>0</v>
      </c>
      <c r="H49" s="13">
        <f t="shared" si="0"/>
        <v>0</v>
      </c>
      <c r="I49" s="12"/>
      <c r="J49" s="14">
        <f t="shared" si="1"/>
        <v>0</v>
      </c>
      <c r="L49" s="34">
        <f t="shared" si="2"/>
        <v>0</v>
      </c>
    </row>
    <row r="50" spans="1:12" ht="15.75" x14ac:dyDescent="0.25">
      <c r="B50" s="9">
        <v>625</v>
      </c>
      <c r="C50" s="10" t="s">
        <v>47</v>
      </c>
      <c r="D50" s="11"/>
      <c r="E50" s="36">
        <v>0</v>
      </c>
      <c r="F50" s="36">
        <v>0</v>
      </c>
      <c r="G50" s="36">
        <v>0</v>
      </c>
      <c r="H50" s="13">
        <f t="shared" si="0"/>
        <v>0</v>
      </c>
      <c r="I50" s="12"/>
      <c r="J50" s="14">
        <f t="shared" si="1"/>
        <v>0</v>
      </c>
      <c r="L50" s="34">
        <f t="shared" si="2"/>
        <v>0</v>
      </c>
    </row>
    <row r="51" spans="1:12" ht="15.75" x14ac:dyDescent="0.25">
      <c r="A51">
        <v>517209</v>
      </c>
      <c r="B51" s="18">
        <v>360</v>
      </c>
      <c r="C51" s="10" t="s">
        <v>47</v>
      </c>
      <c r="D51" s="11">
        <v>36</v>
      </c>
      <c r="E51" s="36">
        <v>8</v>
      </c>
      <c r="F51" s="36">
        <v>3</v>
      </c>
      <c r="G51" s="36">
        <v>40</v>
      </c>
      <c r="H51" s="13">
        <f t="shared" si="0"/>
        <v>87</v>
      </c>
      <c r="I51" s="12"/>
      <c r="J51" s="14">
        <f t="shared" si="1"/>
        <v>87</v>
      </c>
      <c r="K51">
        <v>89</v>
      </c>
      <c r="L51" s="34">
        <f t="shared" si="2"/>
        <v>2</v>
      </c>
    </row>
    <row r="52" spans="1:12" ht="15.75" x14ac:dyDescent="0.25">
      <c r="B52" s="18">
        <v>625</v>
      </c>
      <c r="C52" s="10" t="s">
        <v>48</v>
      </c>
      <c r="D52" s="11"/>
      <c r="E52" s="36">
        <v>0</v>
      </c>
      <c r="F52" s="36">
        <v>0</v>
      </c>
      <c r="G52" s="36">
        <v>0</v>
      </c>
      <c r="H52" s="13">
        <f t="shared" si="0"/>
        <v>0</v>
      </c>
      <c r="I52" s="12"/>
      <c r="J52" s="14">
        <f t="shared" si="1"/>
        <v>0</v>
      </c>
      <c r="L52" s="34">
        <f t="shared" si="2"/>
        <v>0</v>
      </c>
    </row>
    <row r="53" spans="1:12" ht="15.75" x14ac:dyDescent="0.25">
      <c r="A53">
        <v>522919</v>
      </c>
      <c r="B53" s="19">
        <v>625</v>
      </c>
      <c r="C53" s="17" t="s">
        <v>49</v>
      </c>
      <c r="D53" s="11">
        <v>28</v>
      </c>
      <c r="E53" s="36">
        <v>15</v>
      </c>
      <c r="F53" s="36">
        <v>20</v>
      </c>
      <c r="G53" s="36">
        <v>7</v>
      </c>
      <c r="H53" s="13">
        <f t="shared" si="0"/>
        <v>70</v>
      </c>
      <c r="I53" s="12"/>
      <c r="J53" s="14">
        <f>H53-I53</f>
        <v>70</v>
      </c>
      <c r="K53">
        <v>70</v>
      </c>
      <c r="L53" s="34">
        <f t="shared" si="2"/>
        <v>0</v>
      </c>
    </row>
    <row r="54" spans="1:12" ht="15.75" x14ac:dyDescent="0.25">
      <c r="A54">
        <v>522918</v>
      </c>
      <c r="B54" s="18">
        <v>375</v>
      </c>
      <c r="C54" s="10" t="s">
        <v>48</v>
      </c>
      <c r="D54" s="11">
        <v>81</v>
      </c>
      <c r="E54" s="36">
        <v>8</v>
      </c>
      <c r="F54" s="36">
        <v>20</v>
      </c>
      <c r="G54" s="36">
        <v>7</v>
      </c>
      <c r="H54" s="13">
        <f t="shared" si="0"/>
        <v>116</v>
      </c>
      <c r="I54" s="12"/>
      <c r="J54" s="14">
        <f t="shared" si="1"/>
        <v>116</v>
      </c>
      <c r="K54">
        <v>116</v>
      </c>
      <c r="L54" s="34">
        <f t="shared" si="2"/>
        <v>0</v>
      </c>
    </row>
    <row r="55" spans="1:12" ht="15.75" x14ac:dyDescent="0.25">
      <c r="B55" s="20">
        <v>375</v>
      </c>
      <c r="C55" s="21" t="s">
        <v>50</v>
      </c>
      <c r="D55" s="11"/>
      <c r="E55" s="36">
        <v>0</v>
      </c>
      <c r="F55" s="36">
        <v>0</v>
      </c>
      <c r="G55" s="36">
        <v>0</v>
      </c>
      <c r="H55" s="13">
        <f t="shared" si="0"/>
        <v>0</v>
      </c>
      <c r="I55" s="12"/>
      <c r="J55" s="14">
        <f t="shared" si="1"/>
        <v>0</v>
      </c>
      <c r="L55" s="34">
        <f t="shared" si="2"/>
        <v>0</v>
      </c>
    </row>
    <row r="56" spans="1:12" ht="15.75" x14ac:dyDescent="0.25">
      <c r="A56">
        <v>522920</v>
      </c>
      <c r="B56" s="22">
        <v>1.3</v>
      </c>
      <c r="C56" s="23" t="s">
        <v>51</v>
      </c>
      <c r="D56" s="11"/>
      <c r="E56" s="36">
        <v>0</v>
      </c>
      <c r="F56" s="36">
        <v>0</v>
      </c>
      <c r="G56" s="36">
        <v>0</v>
      </c>
      <c r="H56" s="13">
        <f t="shared" si="0"/>
        <v>0</v>
      </c>
      <c r="I56" s="12"/>
      <c r="J56" s="14">
        <f>H56-I56</f>
        <v>0</v>
      </c>
      <c r="L56" s="34">
        <f t="shared" si="2"/>
        <v>0</v>
      </c>
    </row>
    <row r="57" spans="1:12" ht="15.75" x14ac:dyDescent="0.25">
      <c r="A57">
        <v>523533</v>
      </c>
      <c r="B57" s="22">
        <v>1000</v>
      </c>
      <c r="C57" s="23" t="s">
        <v>48</v>
      </c>
      <c r="D57" s="11">
        <v>13</v>
      </c>
      <c r="E57" s="36">
        <v>15</v>
      </c>
      <c r="F57" s="36">
        <v>15</v>
      </c>
      <c r="G57" s="36">
        <v>10</v>
      </c>
      <c r="H57" s="13">
        <f t="shared" si="0"/>
        <v>53</v>
      </c>
      <c r="I57" s="12"/>
      <c r="J57" s="14">
        <f>H57-I57</f>
        <v>53</v>
      </c>
      <c r="K57">
        <v>53</v>
      </c>
      <c r="L57" s="34">
        <f t="shared" si="2"/>
        <v>0</v>
      </c>
    </row>
    <row r="58" spans="1:12" ht="15.75" x14ac:dyDescent="0.25">
      <c r="B58" s="9">
        <v>3300</v>
      </c>
      <c r="C58" s="10" t="s">
        <v>48</v>
      </c>
      <c r="D58" s="11"/>
      <c r="E58" s="36">
        <v>0</v>
      </c>
      <c r="F58" s="36">
        <v>0</v>
      </c>
      <c r="G58" s="36">
        <v>0</v>
      </c>
      <c r="H58" s="13">
        <f t="shared" si="0"/>
        <v>0</v>
      </c>
      <c r="I58" s="12"/>
      <c r="J58" s="14">
        <f t="shared" ref="J58:J121" si="3">H58-I58</f>
        <v>0</v>
      </c>
      <c r="L58" s="34">
        <f t="shared" si="2"/>
        <v>0</v>
      </c>
    </row>
    <row r="59" spans="1:12" ht="15.75" x14ac:dyDescent="0.25">
      <c r="A59">
        <v>598820</v>
      </c>
      <c r="B59" s="18">
        <v>145</v>
      </c>
      <c r="C59" s="10" t="s">
        <v>52</v>
      </c>
      <c r="D59" s="11"/>
      <c r="E59" s="36">
        <v>0</v>
      </c>
      <c r="F59" s="36">
        <v>0</v>
      </c>
      <c r="G59" s="36">
        <v>0</v>
      </c>
      <c r="H59" s="13">
        <f t="shared" si="0"/>
        <v>0</v>
      </c>
      <c r="I59" s="12"/>
      <c r="J59" s="14">
        <f t="shared" si="3"/>
        <v>0</v>
      </c>
      <c r="L59" s="34">
        <f t="shared" si="2"/>
        <v>0</v>
      </c>
    </row>
    <row r="60" spans="1:12" ht="15.75" x14ac:dyDescent="0.25">
      <c r="A60">
        <v>598821</v>
      </c>
      <c r="B60" s="9">
        <v>145</v>
      </c>
      <c r="C60" s="10" t="s">
        <v>53</v>
      </c>
      <c r="D60" s="11">
        <v>128</v>
      </c>
      <c r="E60" s="36">
        <v>30</v>
      </c>
      <c r="F60" s="36">
        <v>20</v>
      </c>
      <c r="G60" s="36">
        <v>30</v>
      </c>
      <c r="H60" s="13">
        <f t="shared" si="0"/>
        <v>208</v>
      </c>
      <c r="I60" s="12"/>
      <c r="J60" s="14">
        <f t="shared" si="3"/>
        <v>208</v>
      </c>
      <c r="K60">
        <v>208</v>
      </c>
      <c r="L60" s="34">
        <f t="shared" si="2"/>
        <v>0</v>
      </c>
    </row>
    <row r="61" spans="1:12" ht="15.75" x14ac:dyDescent="0.25">
      <c r="B61" s="9">
        <v>145</v>
      </c>
      <c r="C61" s="10" t="s">
        <v>54</v>
      </c>
      <c r="D61" s="11"/>
      <c r="E61" s="36">
        <v>0</v>
      </c>
      <c r="F61" s="36">
        <v>0</v>
      </c>
      <c r="G61" s="36">
        <v>0</v>
      </c>
      <c r="H61" s="13">
        <f t="shared" si="0"/>
        <v>0</v>
      </c>
      <c r="I61" s="12"/>
      <c r="J61" s="14">
        <f t="shared" si="3"/>
        <v>0</v>
      </c>
      <c r="L61" s="34">
        <f t="shared" si="2"/>
        <v>0</v>
      </c>
    </row>
    <row r="62" spans="1:12" ht="15.75" x14ac:dyDescent="0.25">
      <c r="B62" s="9">
        <v>145</v>
      </c>
      <c r="C62" s="10" t="s">
        <v>55</v>
      </c>
      <c r="D62" s="11"/>
      <c r="E62" s="36">
        <v>0</v>
      </c>
      <c r="F62" s="36">
        <v>0</v>
      </c>
      <c r="G62" s="36">
        <v>0</v>
      </c>
      <c r="H62" s="13">
        <f t="shared" si="0"/>
        <v>0</v>
      </c>
      <c r="I62" s="12"/>
      <c r="J62" s="14">
        <f t="shared" si="3"/>
        <v>0</v>
      </c>
      <c r="L62" s="34">
        <f t="shared" si="2"/>
        <v>0</v>
      </c>
    </row>
    <row r="63" spans="1:12" ht="15.75" x14ac:dyDescent="0.25">
      <c r="B63" s="9">
        <v>145</v>
      </c>
      <c r="C63" s="10" t="s">
        <v>56</v>
      </c>
      <c r="D63" s="11"/>
      <c r="E63" s="36">
        <v>0</v>
      </c>
      <c r="F63" s="36">
        <v>0</v>
      </c>
      <c r="G63" s="36">
        <v>0</v>
      </c>
      <c r="H63" s="13">
        <f t="shared" si="0"/>
        <v>0</v>
      </c>
      <c r="I63" s="12"/>
      <c r="J63" s="14">
        <f t="shared" si="3"/>
        <v>0</v>
      </c>
      <c r="L63" s="34">
        <f t="shared" si="2"/>
        <v>0</v>
      </c>
    </row>
    <row r="64" spans="1:12" ht="15.75" x14ac:dyDescent="0.25">
      <c r="B64" s="9">
        <v>145</v>
      </c>
      <c r="C64" s="10" t="s">
        <v>57</v>
      </c>
      <c r="D64" s="11"/>
      <c r="E64" s="36">
        <v>0</v>
      </c>
      <c r="F64" s="36">
        <v>0</v>
      </c>
      <c r="G64" s="36">
        <v>0</v>
      </c>
      <c r="H64" s="13">
        <f t="shared" si="0"/>
        <v>0</v>
      </c>
      <c r="I64" s="12"/>
      <c r="J64" s="14">
        <f t="shared" si="3"/>
        <v>0</v>
      </c>
      <c r="L64" s="34">
        <f t="shared" si="2"/>
        <v>0</v>
      </c>
    </row>
    <row r="65" spans="1:12" ht="15.75" x14ac:dyDescent="0.25">
      <c r="B65" s="9">
        <v>145</v>
      </c>
      <c r="C65" s="10" t="s">
        <v>58</v>
      </c>
      <c r="D65" s="11"/>
      <c r="E65" s="36">
        <v>0</v>
      </c>
      <c r="F65" s="36">
        <v>0</v>
      </c>
      <c r="G65" s="36">
        <v>0</v>
      </c>
      <c r="H65" s="13">
        <f t="shared" si="0"/>
        <v>0</v>
      </c>
      <c r="I65" s="12"/>
      <c r="J65" s="14">
        <f t="shared" si="3"/>
        <v>0</v>
      </c>
      <c r="L65" s="34">
        <f t="shared" si="2"/>
        <v>0</v>
      </c>
    </row>
    <row r="66" spans="1:12" ht="15.75" x14ac:dyDescent="0.25">
      <c r="B66" s="9">
        <v>145</v>
      </c>
      <c r="C66" s="10" t="s">
        <v>59</v>
      </c>
      <c r="D66" s="11"/>
      <c r="E66" s="36">
        <v>0</v>
      </c>
      <c r="F66" s="36">
        <v>0</v>
      </c>
      <c r="G66" s="36">
        <v>0</v>
      </c>
      <c r="H66" s="13">
        <f t="shared" si="0"/>
        <v>0</v>
      </c>
      <c r="I66" s="12"/>
      <c r="J66" s="14">
        <f t="shared" si="3"/>
        <v>0</v>
      </c>
      <c r="L66" s="34">
        <f t="shared" si="2"/>
        <v>0</v>
      </c>
    </row>
    <row r="67" spans="1:12" ht="15.75" x14ac:dyDescent="0.25">
      <c r="B67" s="9"/>
      <c r="C67" s="10" t="s">
        <v>60</v>
      </c>
      <c r="D67" s="11"/>
      <c r="E67" s="36">
        <v>0</v>
      </c>
      <c r="F67" s="36">
        <v>0</v>
      </c>
      <c r="G67" s="36">
        <v>0</v>
      </c>
      <c r="H67" s="13">
        <f t="shared" ref="H67:H130" si="4">D67+E67+F67+G67</f>
        <v>0</v>
      </c>
      <c r="I67" s="12"/>
      <c r="J67" s="14">
        <f t="shared" si="3"/>
        <v>0</v>
      </c>
      <c r="L67" s="34">
        <f t="shared" ref="L67:L130" si="5">K67-H67</f>
        <v>0</v>
      </c>
    </row>
    <row r="68" spans="1:12" ht="15.75" x14ac:dyDescent="0.25">
      <c r="A68">
        <v>598822</v>
      </c>
      <c r="B68" s="9">
        <v>250</v>
      </c>
      <c r="C68" s="10" t="s">
        <v>61</v>
      </c>
      <c r="D68" s="11"/>
      <c r="E68" s="36">
        <v>0</v>
      </c>
      <c r="F68" s="36">
        <v>0</v>
      </c>
      <c r="G68" s="36">
        <v>0</v>
      </c>
      <c r="H68" s="13">
        <f t="shared" si="4"/>
        <v>0</v>
      </c>
      <c r="I68" s="12"/>
      <c r="J68" s="14">
        <f t="shared" si="3"/>
        <v>0</v>
      </c>
      <c r="L68" s="34">
        <f t="shared" si="5"/>
        <v>0</v>
      </c>
    </row>
    <row r="69" spans="1:12" ht="15.75" x14ac:dyDescent="0.25">
      <c r="A69">
        <v>598823</v>
      </c>
      <c r="B69" s="9">
        <v>250</v>
      </c>
      <c r="C69" s="10" t="s">
        <v>62</v>
      </c>
      <c r="D69" s="11"/>
      <c r="E69" s="36">
        <v>0</v>
      </c>
      <c r="F69" s="36">
        <v>0</v>
      </c>
      <c r="G69" s="36">
        <v>0</v>
      </c>
      <c r="H69" s="13">
        <f t="shared" si="4"/>
        <v>0</v>
      </c>
      <c r="I69" s="12"/>
      <c r="J69" s="14">
        <f t="shared" si="3"/>
        <v>0</v>
      </c>
      <c r="L69" s="34">
        <f t="shared" si="5"/>
        <v>0</v>
      </c>
    </row>
    <row r="70" spans="1:12" ht="15.75" x14ac:dyDescent="0.25">
      <c r="B70" s="9">
        <v>250</v>
      </c>
      <c r="C70" s="10" t="s">
        <v>54</v>
      </c>
      <c r="D70" s="11"/>
      <c r="E70" s="36">
        <v>0</v>
      </c>
      <c r="F70" s="36">
        <v>0</v>
      </c>
      <c r="G70" s="36">
        <v>0</v>
      </c>
      <c r="H70" s="13">
        <f t="shared" si="4"/>
        <v>0</v>
      </c>
      <c r="I70" s="12"/>
      <c r="J70" s="14">
        <f t="shared" si="3"/>
        <v>0</v>
      </c>
      <c r="L70" s="34">
        <f t="shared" si="5"/>
        <v>0</v>
      </c>
    </row>
    <row r="71" spans="1:12" ht="15.75" x14ac:dyDescent="0.25">
      <c r="B71" s="9">
        <v>250</v>
      </c>
      <c r="C71" s="10" t="s">
        <v>55</v>
      </c>
      <c r="D71" s="11"/>
      <c r="E71" s="36">
        <v>0</v>
      </c>
      <c r="F71" s="36">
        <v>0</v>
      </c>
      <c r="G71" s="36">
        <v>0</v>
      </c>
      <c r="H71" s="13">
        <f t="shared" si="4"/>
        <v>0</v>
      </c>
      <c r="I71" s="12"/>
      <c r="J71" s="14">
        <f t="shared" si="3"/>
        <v>0</v>
      </c>
      <c r="L71" s="34">
        <f t="shared" si="5"/>
        <v>0</v>
      </c>
    </row>
    <row r="72" spans="1:12" ht="15.75" x14ac:dyDescent="0.25">
      <c r="B72" s="9">
        <v>250</v>
      </c>
      <c r="C72" s="10" t="s">
        <v>56</v>
      </c>
      <c r="D72" s="11"/>
      <c r="E72" s="36">
        <v>0</v>
      </c>
      <c r="F72" s="36">
        <v>0</v>
      </c>
      <c r="G72" s="36">
        <v>0</v>
      </c>
      <c r="H72" s="13">
        <f t="shared" si="4"/>
        <v>0</v>
      </c>
      <c r="I72" s="12"/>
      <c r="J72" s="14">
        <f t="shared" si="3"/>
        <v>0</v>
      </c>
      <c r="L72" s="34">
        <f t="shared" si="5"/>
        <v>0</v>
      </c>
    </row>
    <row r="73" spans="1:12" ht="15.75" x14ac:dyDescent="0.25">
      <c r="B73" s="9">
        <v>1000</v>
      </c>
      <c r="C73" s="10" t="s">
        <v>52</v>
      </c>
      <c r="D73" s="11"/>
      <c r="E73" s="36">
        <v>0</v>
      </c>
      <c r="F73" s="36">
        <v>0</v>
      </c>
      <c r="G73" s="36">
        <v>0</v>
      </c>
      <c r="H73" s="13">
        <f t="shared" si="4"/>
        <v>0</v>
      </c>
      <c r="I73" s="12"/>
      <c r="J73" s="14">
        <f t="shared" si="3"/>
        <v>0</v>
      </c>
      <c r="L73" s="34">
        <f t="shared" si="5"/>
        <v>0</v>
      </c>
    </row>
    <row r="74" spans="1:12" ht="15.75" x14ac:dyDescent="0.25">
      <c r="B74" s="9">
        <v>1000</v>
      </c>
      <c r="C74" s="10" t="s">
        <v>53</v>
      </c>
      <c r="D74" s="11"/>
      <c r="E74" s="36">
        <v>0</v>
      </c>
      <c r="F74" s="36">
        <v>0</v>
      </c>
      <c r="G74" s="36">
        <v>0</v>
      </c>
      <c r="H74" s="13">
        <f t="shared" si="4"/>
        <v>0</v>
      </c>
      <c r="I74" s="12"/>
      <c r="J74" s="14">
        <f t="shared" si="3"/>
        <v>0</v>
      </c>
      <c r="L74" s="34">
        <f t="shared" si="5"/>
        <v>0</v>
      </c>
    </row>
    <row r="75" spans="1:12" ht="15.75" x14ac:dyDescent="0.25">
      <c r="B75" s="9">
        <v>1000</v>
      </c>
      <c r="C75" s="10" t="s">
        <v>54</v>
      </c>
      <c r="D75" s="11"/>
      <c r="E75" s="36">
        <v>0</v>
      </c>
      <c r="F75" s="36">
        <v>0</v>
      </c>
      <c r="G75" s="36">
        <v>0</v>
      </c>
      <c r="H75" s="13">
        <f t="shared" si="4"/>
        <v>0</v>
      </c>
      <c r="I75" s="12"/>
      <c r="J75" s="14">
        <f t="shared" si="3"/>
        <v>0</v>
      </c>
      <c r="L75" s="34">
        <f t="shared" si="5"/>
        <v>0</v>
      </c>
    </row>
    <row r="76" spans="1:12" ht="15.75" x14ac:dyDescent="0.25">
      <c r="B76" s="9">
        <v>1000</v>
      </c>
      <c r="C76" s="10" t="s">
        <v>55</v>
      </c>
      <c r="D76" s="11"/>
      <c r="E76" s="36">
        <v>0</v>
      </c>
      <c r="F76" s="36">
        <v>0</v>
      </c>
      <c r="G76" s="36">
        <v>0</v>
      </c>
      <c r="H76" s="13">
        <f t="shared" si="4"/>
        <v>0</v>
      </c>
      <c r="I76" s="12"/>
      <c r="J76" s="14">
        <f t="shared" si="3"/>
        <v>0</v>
      </c>
      <c r="L76" s="34">
        <f t="shared" si="5"/>
        <v>0</v>
      </c>
    </row>
    <row r="77" spans="1:12" ht="15.75" x14ac:dyDescent="0.25">
      <c r="B77" s="9">
        <v>1000</v>
      </c>
      <c r="C77" s="10" t="s">
        <v>56</v>
      </c>
      <c r="D77" s="11"/>
      <c r="E77" s="36">
        <v>0</v>
      </c>
      <c r="F77" s="36">
        <v>0</v>
      </c>
      <c r="G77" s="36">
        <v>0</v>
      </c>
      <c r="H77" s="13">
        <f t="shared" si="4"/>
        <v>0</v>
      </c>
      <c r="I77" s="12"/>
      <c r="J77" s="14">
        <f t="shared" si="3"/>
        <v>0</v>
      </c>
      <c r="L77" s="34">
        <f t="shared" si="5"/>
        <v>0</v>
      </c>
    </row>
    <row r="78" spans="1:12" ht="15.75" x14ac:dyDescent="0.25">
      <c r="A78">
        <v>599461</v>
      </c>
      <c r="B78" s="18">
        <v>145</v>
      </c>
      <c r="C78" s="10" t="s">
        <v>63</v>
      </c>
      <c r="D78" s="11"/>
      <c r="E78" s="36">
        <v>0</v>
      </c>
      <c r="F78" s="36">
        <v>0</v>
      </c>
      <c r="G78" s="36">
        <v>0</v>
      </c>
      <c r="H78" s="13">
        <f t="shared" si="4"/>
        <v>0</v>
      </c>
      <c r="I78" s="12"/>
      <c r="J78" s="14">
        <f t="shared" si="3"/>
        <v>0</v>
      </c>
      <c r="L78" s="34">
        <f t="shared" si="5"/>
        <v>0</v>
      </c>
    </row>
    <row r="79" spans="1:12" ht="15.75" x14ac:dyDescent="0.25">
      <c r="B79" s="9">
        <v>145</v>
      </c>
      <c r="C79" s="10" t="s">
        <v>64</v>
      </c>
      <c r="D79" s="11"/>
      <c r="E79" s="36">
        <v>0</v>
      </c>
      <c r="F79" s="36">
        <v>0</v>
      </c>
      <c r="G79" s="36">
        <v>0</v>
      </c>
      <c r="H79" s="13">
        <f t="shared" si="4"/>
        <v>0</v>
      </c>
      <c r="I79" s="12"/>
      <c r="J79" s="14">
        <f t="shared" si="3"/>
        <v>0</v>
      </c>
      <c r="L79" s="34">
        <f t="shared" si="5"/>
        <v>0</v>
      </c>
    </row>
    <row r="80" spans="1:12" ht="15.75" x14ac:dyDescent="0.25">
      <c r="B80" s="9">
        <v>145</v>
      </c>
      <c r="C80" s="10" t="s">
        <v>65</v>
      </c>
      <c r="D80" s="11"/>
      <c r="E80" s="36">
        <v>0</v>
      </c>
      <c r="F80" s="36">
        <v>0</v>
      </c>
      <c r="G80" s="36">
        <v>0</v>
      </c>
      <c r="H80" s="13">
        <f t="shared" si="4"/>
        <v>0</v>
      </c>
      <c r="I80" s="12"/>
      <c r="J80" s="14">
        <f t="shared" si="3"/>
        <v>0</v>
      </c>
      <c r="L80" s="34">
        <f t="shared" si="5"/>
        <v>0</v>
      </c>
    </row>
    <row r="81" spans="1:12" ht="15.75" x14ac:dyDescent="0.25">
      <c r="A81">
        <v>522287</v>
      </c>
      <c r="B81" s="9">
        <v>360</v>
      </c>
      <c r="C81" s="10" t="s">
        <v>66</v>
      </c>
      <c r="D81" s="11"/>
      <c r="E81" s="36">
        <v>0</v>
      </c>
      <c r="F81" s="36">
        <v>0</v>
      </c>
      <c r="G81" s="36">
        <v>0</v>
      </c>
      <c r="H81" s="13">
        <f t="shared" si="4"/>
        <v>0</v>
      </c>
      <c r="I81" s="12"/>
      <c r="J81" s="14">
        <f t="shared" si="3"/>
        <v>0</v>
      </c>
      <c r="L81" s="34">
        <f t="shared" si="5"/>
        <v>0</v>
      </c>
    </row>
    <row r="82" spans="1:12" ht="15.75" x14ac:dyDescent="0.25">
      <c r="A82">
        <v>522286</v>
      </c>
      <c r="B82" s="18">
        <v>360</v>
      </c>
      <c r="C82" s="10" t="s">
        <v>67</v>
      </c>
      <c r="D82" s="11"/>
      <c r="E82" s="36">
        <v>0</v>
      </c>
      <c r="F82" s="36">
        <v>0</v>
      </c>
      <c r="G82" s="36">
        <v>0</v>
      </c>
      <c r="H82" s="13">
        <f t="shared" si="4"/>
        <v>0</v>
      </c>
      <c r="I82" s="12"/>
      <c r="J82" s="14">
        <f t="shared" si="3"/>
        <v>0</v>
      </c>
      <c r="L82" s="34">
        <f t="shared" si="5"/>
        <v>0</v>
      </c>
    </row>
    <row r="83" spans="1:12" ht="15.75" x14ac:dyDescent="0.25">
      <c r="A83">
        <v>522278</v>
      </c>
      <c r="B83" s="18">
        <v>360</v>
      </c>
      <c r="C83" s="10" t="s">
        <v>68</v>
      </c>
      <c r="D83" s="11"/>
      <c r="E83" s="36">
        <v>0</v>
      </c>
      <c r="F83" s="36">
        <v>0</v>
      </c>
      <c r="G83" s="36">
        <v>0</v>
      </c>
      <c r="H83" s="13">
        <f t="shared" si="4"/>
        <v>0</v>
      </c>
      <c r="I83" s="12"/>
      <c r="J83" s="14">
        <f t="shared" si="3"/>
        <v>0</v>
      </c>
      <c r="L83" s="34">
        <f t="shared" si="5"/>
        <v>0</v>
      </c>
    </row>
    <row r="84" spans="1:12" ht="15.75" x14ac:dyDescent="0.25">
      <c r="B84" s="9">
        <v>360</v>
      </c>
      <c r="C84" s="10" t="s">
        <v>69</v>
      </c>
      <c r="D84" s="11"/>
      <c r="E84" s="36">
        <v>0</v>
      </c>
      <c r="F84" s="36">
        <v>0</v>
      </c>
      <c r="G84" s="36">
        <v>0</v>
      </c>
      <c r="H84" s="13">
        <f t="shared" si="4"/>
        <v>0</v>
      </c>
      <c r="I84" s="12"/>
      <c r="J84" s="14">
        <f t="shared" si="3"/>
        <v>0</v>
      </c>
      <c r="L84" s="34">
        <f t="shared" si="5"/>
        <v>0</v>
      </c>
    </row>
    <row r="85" spans="1:12" ht="15.75" x14ac:dyDescent="0.25">
      <c r="B85" s="9">
        <v>360</v>
      </c>
      <c r="C85" s="10" t="s">
        <v>70</v>
      </c>
      <c r="D85" s="11"/>
      <c r="E85" s="36">
        <v>0</v>
      </c>
      <c r="F85" s="36">
        <v>0</v>
      </c>
      <c r="G85" s="36">
        <v>0</v>
      </c>
      <c r="H85" s="13">
        <f t="shared" si="4"/>
        <v>0</v>
      </c>
      <c r="I85" s="12"/>
      <c r="J85" s="14">
        <f t="shared" si="3"/>
        <v>0</v>
      </c>
      <c r="L85" s="34">
        <f t="shared" si="5"/>
        <v>0</v>
      </c>
    </row>
    <row r="86" spans="1:12" ht="15.75" x14ac:dyDescent="0.25">
      <c r="B86" s="9">
        <v>360</v>
      </c>
      <c r="C86" s="10" t="s">
        <v>71</v>
      </c>
      <c r="D86" s="11"/>
      <c r="E86" s="36">
        <v>0</v>
      </c>
      <c r="F86" s="36">
        <v>0</v>
      </c>
      <c r="G86" s="36">
        <v>0</v>
      </c>
      <c r="H86" s="13">
        <f t="shared" si="4"/>
        <v>0</v>
      </c>
      <c r="I86" s="12"/>
      <c r="J86" s="14">
        <f t="shared" si="3"/>
        <v>0</v>
      </c>
      <c r="L86" s="34">
        <f t="shared" si="5"/>
        <v>0</v>
      </c>
    </row>
    <row r="87" spans="1:12" ht="15.75" x14ac:dyDescent="0.25">
      <c r="B87" s="9">
        <v>360</v>
      </c>
      <c r="C87" s="10" t="s">
        <v>72</v>
      </c>
      <c r="D87" s="11"/>
      <c r="E87" s="36">
        <v>0</v>
      </c>
      <c r="F87" s="36">
        <v>0</v>
      </c>
      <c r="G87" s="36">
        <v>0</v>
      </c>
      <c r="H87" s="13">
        <f t="shared" si="4"/>
        <v>0</v>
      </c>
      <c r="I87" s="12"/>
      <c r="J87" s="14">
        <f t="shared" si="3"/>
        <v>0</v>
      </c>
      <c r="L87" s="34">
        <f t="shared" si="5"/>
        <v>0</v>
      </c>
    </row>
    <row r="88" spans="1:12" ht="15.75" x14ac:dyDescent="0.25">
      <c r="A88">
        <v>522501</v>
      </c>
      <c r="B88" s="9">
        <v>625</v>
      </c>
      <c r="C88" s="10" t="s">
        <v>66</v>
      </c>
      <c r="D88" s="11">
        <v>73</v>
      </c>
      <c r="E88" s="36">
        <v>24</v>
      </c>
      <c r="F88" s="36">
        <v>40</v>
      </c>
      <c r="G88" s="36">
        <v>22</v>
      </c>
      <c r="H88" s="13">
        <f t="shared" si="4"/>
        <v>159</v>
      </c>
      <c r="I88" s="12"/>
      <c r="J88" s="14">
        <f>H88-I88</f>
        <v>159</v>
      </c>
      <c r="K88">
        <v>159</v>
      </c>
      <c r="L88" s="34">
        <f t="shared" si="5"/>
        <v>0</v>
      </c>
    </row>
    <row r="89" spans="1:12" ht="15.75" x14ac:dyDescent="0.25">
      <c r="A89">
        <v>522502</v>
      </c>
      <c r="B89" s="9">
        <v>625</v>
      </c>
      <c r="C89" s="10" t="s">
        <v>68</v>
      </c>
      <c r="D89" s="11">
        <v>73</v>
      </c>
      <c r="E89" s="36">
        <v>25</v>
      </c>
      <c r="F89" s="36">
        <v>40</v>
      </c>
      <c r="G89" s="36">
        <v>20</v>
      </c>
      <c r="H89" s="13">
        <f t="shared" si="4"/>
        <v>158</v>
      </c>
      <c r="I89" s="12"/>
      <c r="J89" s="14">
        <f t="shared" si="3"/>
        <v>158</v>
      </c>
      <c r="K89">
        <v>158</v>
      </c>
      <c r="L89" s="34">
        <f t="shared" si="5"/>
        <v>0</v>
      </c>
    </row>
    <row r="90" spans="1:12" ht="15.75" x14ac:dyDescent="0.25">
      <c r="A90">
        <v>522500</v>
      </c>
      <c r="B90" s="9">
        <v>625</v>
      </c>
      <c r="C90" s="10" t="s">
        <v>67</v>
      </c>
      <c r="D90" s="11">
        <v>1</v>
      </c>
      <c r="E90" s="36">
        <v>31</v>
      </c>
      <c r="F90" s="36">
        <v>45</v>
      </c>
      <c r="G90" s="36">
        <v>20</v>
      </c>
      <c r="H90" s="13">
        <f t="shared" si="4"/>
        <v>97</v>
      </c>
      <c r="I90" s="12"/>
      <c r="J90" s="14">
        <f t="shared" si="3"/>
        <v>97</v>
      </c>
      <c r="K90">
        <v>97</v>
      </c>
      <c r="L90" s="34">
        <f t="shared" si="5"/>
        <v>0</v>
      </c>
    </row>
    <row r="91" spans="1:12" ht="15.75" x14ac:dyDescent="0.25">
      <c r="A91">
        <v>522499</v>
      </c>
      <c r="B91" s="9">
        <v>625</v>
      </c>
      <c r="C91" s="10" t="s">
        <v>73</v>
      </c>
      <c r="D91" s="11">
        <v>70</v>
      </c>
      <c r="E91" s="36">
        <v>13</v>
      </c>
      <c r="F91" s="36">
        <v>20</v>
      </c>
      <c r="G91" s="36">
        <v>10</v>
      </c>
      <c r="H91" s="13">
        <f t="shared" si="4"/>
        <v>113</v>
      </c>
      <c r="I91" s="12"/>
      <c r="J91" s="14">
        <f t="shared" si="3"/>
        <v>113</v>
      </c>
      <c r="K91">
        <v>113</v>
      </c>
      <c r="L91" s="34">
        <f t="shared" si="5"/>
        <v>0</v>
      </c>
    </row>
    <row r="92" spans="1:12" ht="15.75" x14ac:dyDescent="0.25">
      <c r="B92" s="9">
        <v>625</v>
      </c>
      <c r="C92" s="10" t="s">
        <v>70</v>
      </c>
      <c r="D92" s="11"/>
      <c r="E92" s="36">
        <v>0</v>
      </c>
      <c r="F92" s="36">
        <v>0</v>
      </c>
      <c r="G92" s="36">
        <v>0</v>
      </c>
      <c r="H92" s="13">
        <f t="shared" si="4"/>
        <v>0</v>
      </c>
      <c r="I92" s="12"/>
      <c r="J92" s="14">
        <f t="shared" si="3"/>
        <v>0</v>
      </c>
      <c r="L92" s="34">
        <f t="shared" si="5"/>
        <v>0</v>
      </c>
    </row>
    <row r="93" spans="1:12" ht="15.75" x14ac:dyDescent="0.25">
      <c r="B93" s="9">
        <v>625</v>
      </c>
      <c r="C93" s="10" t="s">
        <v>71</v>
      </c>
      <c r="D93" s="11"/>
      <c r="E93" s="36">
        <v>0</v>
      </c>
      <c r="F93" s="36">
        <v>0</v>
      </c>
      <c r="G93" s="36">
        <v>0</v>
      </c>
      <c r="H93" s="13">
        <f t="shared" si="4"/>
        <v>0</v>
      </c>
      <c r="I93" s="12"/>
      <c r="J93" s="14">
        <f t="shared" si="3"/>
        <v>0</v>
      </c>
      <c r="L93" s="34">
        <f t="shared" si="5"/>
        <v>0</v>
      </c>
    </row>
    <row r="94" spans="1:12" ht="15.75" x14ac:dyDescent="0.25">
      <c r="A94">
        <v>522498</v>
      </c>
      <c r="B94" s="9">
        <v>625</v>
      </c>
      <c r="C94" s="10" t="s">
        <v>74</v>
      </c>
      <c r="D94" s="11"/>
      <c r="E94" s="36">
        <v>0</v>
      </c>
      <c r="F94" s="36">
        <v>0</v>
      </c>
      <c r="G94" s="36">
        <v>0</v>
      </c>
      <c r="H94" s="13">
        <f t="shared" si="4"/>
        <v>0</v>
      </c>
      <c r="I94" s="12"/>
      <c r="J94" s="14">
        <f t="shared" si="3"/>
        <v>0</v>
      </c>
      <c r="L94" s="34">
        <f t="shared" si="5"/>
        <v>0</v>
      </c>
    </row>
    <row r="95" spans="1:12" ht="15.75" x14ac:dyDescent="0.25">
      <c r="A95">
        <v>517507</v>
      </c>
      <c r="B95" s="18">
        <v>500</v>
      </c>
      <c r="C95" s="17" t="s">
        <v>75</v>
      </c>
      <c r="D95" s="11">
        <v>2</v>
      </c>
      <c r="E95" s="36">
        <v>8</v>
      </c>
      <c r="F95" s="36">
        <v>11</v>
      </c>
      <c r="G95" s="36">
        <v>4</v>
      </c>
      <c r="H95" s="13">
        <f t="shared" si="4"/>
        <v>25</v>
      </c>
      <c r="I95" s="12"/>
      <c r="J95" s="14">
        <f t="shared" si="3"/>
        <v>25</v>
      </c>
      <c r="K95">
        <v>25</v>
      </c>
      <c r="L95" s="34">
        <f t="shared" si="5"/>
        <v>0</v>
      </c>
    </row>
    <row r="96" spans="1:12" ht="15.75" x14ac:dyDescent="0.25">
      <c r="A96">
        <v>517499</v>
      </c>
      <c r="B96" s="18">
        <v>360</v>
      </c>
      <c r="C96" s="17" t="s">
        <v>75</v>
      </c>
      <c r="D96" s="11"/>
      <c r="E96" s="36">
        <v>0</v>
      </c>
      <c r="F96" s="36">
        <v>0</v>
      </c>
      <c r="G96" s="36">
        <v>0</v>
      </c>
      <c r="H96" s="13">
        <f t="shared" si="4"/>
        <v>0</v>
      </c>
      <c r="I96" s="12"/>
      <c r="J96" s="14">
        <f t="shared" si="3"/>
        <v>0</v>
      </c>
      <c r="L96" s="34">
        <f t="shared" si="5"/>
        <v>0</v>
      </c>
    </row>
    <row r="97" spans="1:12" ht="15.75" x14ac:dyDescent="0.25">
      <c r="B97" s="9">
        <v>625</v>
      </c>
      <c r="C97" s="10" t="s">
        <v>76</v>
      </c>
      <c r="D97" s="11"/>
      <c r="E97" s="36">
        <v>0</v>
      </c>
      <c r="F97" s="36">
        <v>0</v>
      </c>
      <c r="G97" s="36">
        <v>0</v>
      </c>
      <c r="H97" s="13">
        <f t="shared" si="4"/>
        <v>0</v>
      </c>
      <c r="I97" s="12"/>
      <c r="J97" s="14">
        <f t="shared" si="3"/>
        <v>0</v>
      </c>
      <c r="L97" s="34">
        <f t="shared" si="5"/>
        <v>0</v>
      </c>
    </row>
    <row r="98" spans="1:12" ht="15.75" x14ac:dyDescent="0.25">
      <c r="B98" s="9">
        <v>3030</v>
      </c>
      <c r="C98" s="10" t="s">
        <v>76</v>
      </c>
      <c r="D98" s="11"/>
      <c r="E98" s="36">
        <v>0</v>
      </c>
      <c r="F98" s="36">
        <v>0</v>
      </c>
      <c r="G98" s="36">
        <v>0</v>
      </c>
      <c r="H98" s="13">
        <f t="shared" si="4"/>
        <v>0</v>
      </c>
      <c r="I98" s="12"/>
      <c r="J98" s="14">
        <f t="shared" si="3"/>
        <v>0</v>
      </c>
      <c r="L98" s="34">
        <f t="shared" si="5"/>
        <v>0</v>
      </c>
    </row>
    <row r="99" spans="1:12" ht="15.75" x14ac:dyDescent="0.25">
      <c r="B99" s="9">
        <v>355</v>
      </c>
      <c r="C99" s="10" t="s">
        <v>18</v>
      </c>
      <c r="D99" s="11"/>
      <c r="E99" s="36">
        <v>0</v>
      </c>
      <c r="F99" s="36">
        <v>0</v>
      </c>
      <c r="G99" s="36">
        <v>0</v>
      </c>
      <c r="H99" s="13">
        <f t="shared" si="4"/>
        <v>0</v>
      </c>
      <c r="I99" s="12"/>
      <c r="J99" s="14">
        <f t="shared" si="3"/>
        <v>0</v>
      </c>
      <c r="L99" s="34">
        <f t="shared" si="5"/>
        <v>0</v>
      </c>
    </row>
    <row r="100" spans="1:12" ht="15.75" x14ac:dyDescent="0.25">
      <c r="B100" s="9">
        <v>911</v>
      </c>
      <c r="C100" s="10" t="s">
        <v>77</v>
      </c>
      <c r="D100" s="11"/>
      <c r="E100" s="36">
        <v>0</v>
      </c>
      <c r="F100" s="36">
        <v>0</v>
      </c>
      <c r="G100" s="36">
        <v>0</v>
      </c>
      <c r="H100" s="13">
        <f t="shared" si="4"/>
        <v>0</v>
      </c>
      <c r="I100" s="12"/>
      <c r="J100" s="14">
        <f t="shared" si="3"/>
        <v>0</v>
      </c>
      <c r="L100" s="34">
        <f t="shared" si="5"/>
        <v>0</v>
      </c>
    </row>
    <row r="101" spans="1:12" ht="15.75" x14ac:dyDescent="0.25">
      <c r="A101">
        <v>500386</v>
      </c>
      <c r="B101" s="9">
        <v>355</v>
      </c>
      <c r="C101" s="10" t="s">
        <v>21</v>
      </c>
      <c r="D101" s="11"/>
      <c r="E101" s="36">
        <v>0</v>
      </c>
      <c r="F101" s="36">
        <v>0</v>
      </c>
      <c r="G101" s="36">
        <v>0</v>
      </c>
      <c r="H101" s="13">
        <f t="shared" si="4"/>
        <v>0</v>
      </c>
      <c r="I101" s="12"/>
      <c r="J101" s="14">
        <f t="shared" si="3"/>
        <v>0</v>
      </c>
      <c r="L101" s="34">
        <f t="shared" si="5"/>
        <v>0</v>
      </c>
    </row>
    <row r="102" spans="1:12" ht="15.75" x14ac:dyDescent="0.25">
      <c r="A102">
        <v>598944</v>
      </c>
      <c r="B102" s="20">
        <v>355</v>
      </c>
      <c r="C102" s="21" t="s">
        <v>14</v>
      </c>
      <c r="D102" s="11"/>
      <c r="E102" s="36">
        <v>0</v>
      </c>
      <c r="F102" s="36">
        <v>0</v>
      </c>
      <c r="G102" s="36">
        <v>0</v>
      </c>
      <c r="H102" s="13">
        <f t="shared" si="4"/>
        <v>0</v>
      </c>
      <c r="I102" s="12"/>
      <c r="J102" s="14">
        <f t="shared" si="3"/>
        <v>0</v>
      </c>
      <c r="L102" s="34">
        <f t="shared" si="5"/>
        <v>0</v>
      </c>
    </row>
    <row r="103" spans="1:12" ht="15.75" x14ac:dyDescent="0.25">
      <c r="B103" s="20">
        <v>355</v>
      </c>
      <c r="C103" s="21" t="s">
        <v>16</v>
      </c>
      <c r="D103" s="11"/>
      <c r="E103" s="36">
        <v>0</v>
      </c>
      <c r="F103" s="36">
        <v>0</v>
      </c>
      <c r="G103" s="36">
        <v>0</v>
      </c>
      <c r="H103" s="13">
        <f t="shared" si="4"/>
        <v>0</v>
      </c>
      <c r="I103" s="12"/>
      <c r="J103" s="14">
        <f t="shared" si="3"/>
        <v>0</v>
      </c>
      <c r="L103" s="34">
        <f t="shared" si="5"/>
        <v>0</v>
      </c>
    </row>
    <row r="104" spans="1:12" ht="15.75" x14ac:dyDescent="0.25">
      <c r="A104">
        <v>598947</v>
      </c>
      <c r="B104" s="20">
        <v>355</v>
      </c>
      <c r="C104" s="21" t="s">
        <v>15</v>
      </c>
      <c r="D104" s="11"/>
      <c r="E104" s="36">
        <v>0</v>
      </c>
      <c r="F104" s="36">
        <v>0</v>
      </c>
      <c r="G104" s="36">
        <v>0</v>
      </c>
      <c r="H104" s="13">
        <f t="shared" si="4"/>
        <v>0</v>
      </c>
      <c r="I104" s="12"/>
      <c r="J104" s="14">
        <v>0</v>
      </c>
      <c r="L104" s="34">
        <f t="shared" si="5"/>
        <v>0</v>
      </c>
    </row>
    <row r="105" spans="1:12" ht="15.75" x14ac:dyDescent="0.25">
      <c r="A105">
        <v>598943</v>
      </c>
      <c r="B105" s="20">
        <v>355</v>
      </c>
      <c r="C105" s="21" t="s">
        <v>17</v>
      </c>
      <c r="D105" s="11"/>
      <c r="E105" s="36">
        <v>0</v>
      </c>
      <c r="F105" s="36">
        <v>0</v>
      </c>
      <c r="G105" s="36">
        <v>0</v>
      </c>
      <c r="H105" s="13">
        <f t="shared" si="4"/>
        <v>0</v>
      </c>
      <c r="I105" s="12"/>
      <c r="J105" s="14">
        <f t="shared" si="3"/>
        <v>0</v>
      </c>
      <c r="L105" s="34">
        <f t="shared" si="5"/>
        <v>0</v>
      </c>
    </row>
    <row r="106" spans="1:12" ht="15.75" x14ac:dyDescent="0.25">
      <c r="B106" s="20">
        <v>355</v>
      </c>
      <c r="C106" s="21" t="s">
        <v>78</v>
      </c>
      <c r="D106" s="11"/>
      <c r="E106" s="36">
        <v>0</v>
      </c>
      <c r="F106" s="36">
        <v>0</v>
      </c>
      <c r="G106" s="36">
        <v>0</v>
      </c>
      <c r="H106" s="13">
        <f t="shared" si="4"/>
        <v>0</v>
      </c>
      <c r="I106" s="12"/>
      <c r="J106" s="14">
        <f t="shared" si="3"/>
        <v>0</v>
      </c>
      <c r="L106" s="34">
        <f t="shared" si="5"/>
        <v>0</v>
      </c>
    </row>
    <row r="107" spans="1:12" ht="15.75" x14ac:dyDescent="0.25">
      <c r="B107" s="20">
        <v>355</v>
      </c>
      <c r="C107" s="21" t="s">
        <v>79</v>
      </c>
      <c r="D107" s="11"/>
      <c r="E107" s="36">
        <v>0</v>
      </c>
      <c r="F107" s="36">
        <v>0</v>
      </c>
      <c r="G107" s="36">
        <v>0</v>
      </c>
      <c r="H107" s="13">
        <f t="shared" si="4"/>
        <v>0</v>
      </c>
      <c r="I107" s="12"/>
      <c r="J107" s="14">
        <f t="shared" si="3"/>
        <v>0</v>
      </c>
      <c r="L107" s="34">
        <f t="shared" si="5"/>
        <v>0</v>
      </c>
    </row>
    <row r="108" spans="1:12" ht="15.75" x14ac:dyDescent="0.25">
      <c r="B108" s="20">
        <v>355</v>
      </c>
      <c r="C108" s="21" t="s">
        <v>80</v>
      </c>
      <c r="D108" s="11"/>
      <c r="E108" s="36">
        <v>0</v>
      </c>
      <c r="F108" s="36">
        <v>0</v>
      </c>
      <c r="G108" s="36">
        <v>0</v>
      </c>
      <c r="H108" s="13">
        <f t="shared" si="4"/>
        <v>0</v>
      </c>
      <c r="I108" s="12"/>
      <c r="J108" s="14">
        <f t="shared" si="3"/>
        <v>0</v>
      </c>
      <c r="L108" s="34">
        <f t="shared" si="5"/>
        <v>0</v>
      </c>
    </row>
    <row r="109" spans="1:12" ht="15.75" x14ac:dyDescent="0.25">
      <c r="B109" s="20">
        <v>145</v>
      </c>
      <c r="C109" s="21" t="s">
        <v>70</v>
      </c>
      <c r="D109" s="11"/>
      <c r="E109" s="36">
        <v>0</v>
      </c>
      <c r="F109" s="36">
        <v>0</v>
      </c>
      <c r="G109" s="36">
        <v>0</v>
      </c>
      <c r="H109" s="13">
        <f t="shared" si="4"/>
        <v>0</v>
      </c>
      <c r="I109" s="12"/>
      <c r="J109" s="14">
        <f t="shared" si="3"/>
        <v>0</v>
      </c>
      <c r="L109" s="34">
        <f t="shared" si="5"/>
        <v>0</v>
      </c>
    </row>
    <row r="110" spans="1:12" ht="15.75" x14ac:dyDescent="0.25">
      <c r="B110" s="20">
        <v>145</v>
      </c>
      <c r="C110" s="21" t="s">
        <v>68</v>
      </c>
      <c r="D110" s="11"/>
      <c r="E110" s="36">
        <v>0</v>
      </c>
      <c r="F110" s="36">
        <v>0</v>
      </c>
      <c r="G110" s="36">
        <v>0</v>
      </c>
      <c r="H110" s="13">
        <f t="shared" si="4"/>
        <v>0</v>
      </c>
      <c r="I110" s="12"/>
      <c r="J110" s="14">
        <f t="shared" si="3"/>
        <v>0</v>
      </c>
      <c r="L110" s="34">
        <f t="shared" si="5"/>
        <v>0</v>
      </c>
    </row>
    <row r="111" spans="1:12" ht="15.75" x14ac:dyDescent="0.25">
      <c r="B111" s="20">
        <v>145</v>
      </c>
      <c r="C111" s="21" t="s">
        <v>73</v>
      </c>
      <c r="D111" s="11"/>
      <c r="E111" s="36">
        <v>0</v>
      </c>
      <c r="F111" s="36">
        <v>0</v>
      </c>
      <c r="G111" s="36">
        <v>0</v>
      </c>
      <c r="H111" s="13">
        <f t="shared" si="4"/>
        <v>0</v>
      </c>
      <c r="I111" s="12"/>
      <c r="J111" s="14">
        <f t="shared" si="3"/>
        <v>0</v>
      </c>
      <c r="L111" s="34">
        <f t="shared" si="5"/>
        <v>0</v>
      </c>
    </row>
    <row r="112" spans="1:12" ht="15.75" x14ac:dyDescent="0.25">
      <c r="B112" s="20"/>
      <c r="C112" s="21" t="s">
        <v>66</v>
      </c>
      <c r="D112" s="11"/>
      <c r="E112" s="36">
        <v>0</v>
      </c>
      <c r="F112" s="36">
        <v>0</v>
      </c>
      <c r="G112" s="36">
        <v>0</v>
      </c>
      <c r="H112" s="13">
        <f t="shared" si="4"/>
        <v>0</v>
      </c>
      <c r="I112" s="12"/>
      <c r="J112" s="14">
        <f t="shared" si="3"/>
        <v>0</v>
      </c>
      <c r="L112" s="34">
        <f t="shared" si="5"/>
        <v>0</v>
      </c>
    </row>
    <row r="113" spans="1:12" ht="15.75" x14ac:dyDescent="0.25">
      <c r="B113" s="20"/>
      <c r="C113" s="21" t="s">
        <v>81</v>
      </c>
      <c r="D113" s="11"/>
      <c r="E113" s="36">
        <v>0</v>
      </c>
      <c r="F113" s="36">
        <v>0</v>
      </c>
      <c r="G113" s="36">
        <v>0</v>
      </c>
      <c r="H113" s="13">
        <f t="shared" si="4"/>
        <v>0</v>
      </c>
      <c r="I113" s="12"/>
      <c r="J113" s="14">
        <f t="shared" si="3"/>
        <v>0</v>
      </c>
      <c r="L113" s="34">
        <f t="shared" si="5"/>
        <v>0</v>
      </c>
    </row>
    <row r="114" spans="1:12" ht="15.75" x14ac:dyDescent="0.25">
      <c r="B114" s="20"/>
      <c r="C114" s="21" t="s">
        <v>74</v>
      </c>
      <c r="D114" s="11"/>
      <c r="E114" s="36">
        <v>0</v>
      </c>
      <c r="F114" s="36">
        <v>0</v>
      </c>
      <c r="G114" s="36">
        <v>0</v>
      </c>
      <c r="H114" s="13">
        <f t="shared" si="4"/>
        <v>0</v>
      </c>
      <c r="I114" s="12"/>
      <c r="J114" s="14">
        <f t="shared" si="3"/>
        <v>0</v>
      </c>
      <c r="L114" s="34">
        <f t="shared" si="5"/>
        <v>0</v>
      </c>
    </row>
    <row r="115" spans="1:12" ht="15.75" x14ac:dyDescent="0.25">
      <c r="B115" s="20"/>
      <c r="C115" s="21" t="s">
        <v>82</v>
      </c>
      <c r="D115" s="11"/>
      <c r="E115" s="36">
        <v>0</v>
      </c>
      <c r="F115" s="36">
        <v>0</v>
      </c>
      <c r="G115" s="36">
        <v>0</v>
      </c>
      <c r="H115" s="13">
        <f t="shared" si="4"/>
        <v>0</v>
      </c>
      <c r="I115" s="12"/>
      <c r="J115" s="14">
        <f t="shared" si="3"/>
        <v>0</v>
      </c>
      <c r="L115" s="34">
        <f t="shared" si="5"/>
        <v>0</v>
      </c>
    </row>
    <row r="116" spans="1:12" ht="15.75" x14ac:dyDescent="0.25">
      <c r="B116" s="20">
        <v>250</v>
      </c>
      <c r="C116" s="21" t="s">
        <v>12</v>
      </c>
      <c r="D116" s="11"/>
      <c r="E116" s="36">
        <v>0</v>
      </c>
      <c r="F116" s="36">
        <v>0</v>
      </c>
      <c r="G116" s="36">
        <v>0</v>
      </c>
      <c r="H116" s="13">
        <f t="shared" si="4"/>
        <v>0</v>
      </c>
      <c r="I116" s="12"/>
      <c r="J116" s="14">
        <f t="shared" si="3"/>
        <v>0</v>
      </c>
      <c r="L116" s="34">
        <f t="shared" si="5"/>
        <v>0</v>
      </c>
    </row>
    <row r="117" spans="1:12" ht="15.75" x14ac:dyDescent="0.25">
      <c r="B117" s="20">
        <v>250</v>
      </c>
      <c r="C117" s="21" t="s">
        <v>83</v>
      </c>
      <c r="D117" s="11"/>
      <c r="E117" s="36">
        <v>0</v>
      </c>
      <c r="F117" s="36">
        <v>0</v>
      </c>
      <c r="G117" s="36">
        <v>0</v>
      </c>
      <c r="H117" s="13">
        <f t="shared" si="4"/>
        <v>0</v>
      </c>
      <c r="I117" s="12"/>
      <c r="J117" s="14">
        <f t="shared" si="3"/>
        <v>0</v>
      </c>
      <c r="L117" s="34">
        <f t="shared" si="5"/>
        <v>0</v>
      </c>
    </row>
    <row r="118" spans="1:12" ht="15.75" x14ac:dyDescent="0.25">
      <c r="B118" s="20">
        <v>1000</v>
      </c>
      <c r="C118" s="21" t="s">
        <v>83</v>
      </c>
      <c r="D118" s="11"/>
      <c r="E118" s="36">
        <v>0</v>
      </c>
      <c r="F118" s="36">
        <v>0</v>
      </c>
      <c r="G118" s="36">
        <v>0</v>
      </c>
      <c r="H118" s="13">
        <f t="shared" si="4"/>
        <v>0</v>
      </c>
      <c r="I118" s="12"/>
      <c r="J118" s="14">
        <f t="shared" si="3"/>
        <v>0</v>
      </c>
      <c r="L118" s="34">
        <f t="shared" si="5"/>
        <v>0</v>
      </c>
    </row>
    <row r="119" spans="1:12" ht="15.75" x14ac:dyDescent="0.25">
      <c r="B119" s="20">
        <v>250</v>
      </c>
      <c r="C119" s="21" t="s">
        <v>84</v>
      </c>
      <c r="D119" s="11"/>
      <c r="E119" s="36">
        <v>0</v>
      </c>
      <c r="F119" s="36">
        <v>0</v>
      </c>
      <c r="G119" s="36">
        <v>0</v>
      </c>
      <c r="H119" s="13">
        <f t="shared" si="4"/>
        <v>0</v>
      </c>
      <c r="I119" s="12"/>
      <c r="J119" s="14">
        <f t="shared" si="3"/>
        <v>0</v>
      </c>
      <c r="L119" s="34">
        <f t="shared" si="5"/>
        <v>0</v>
      </c>
    </row>
    <row r="120" spans="1:12" ht="15.75" x14ac:dyDescent="0.25">
      <c r="A120">
        <v>522665</v>
      </c>
      <c r="B120" s="22">
        <v>1.5</v>
      </c>
      <c r="C120" s="23" t="s">
        <v>85</v>
      </c>
      <c r="D120" s="11"/>
      <c r="E120" s="36">
        <v>1</v>
      </c>
      <c r="F120" s="36">
        <v>0</v>
      </c>
      <c r="G120" s="36">
        <v>0</v>
      </c>
      <c r="H120" s="13">
        <f t="shared" si="4"/>
        <v>1</v>
      </c>
      <c r="I120" s="12"/>
      <c r="J120" s="14">
        <f t="shared" si="3"/>
        <v>1</v>
      </c>
      <c r="K120">
        <v>1</v>
      </c>
      <c r="L120" s="34">
        <f t="shared" si="5"/>
        <v>0</v>
      </c>
    </row>
    <row r="121" spans="1:12" ht="15.75" x14ac:dyDescent="0.25">
      <c r="A121">
        <v>522664</v>
      </c>
      <c r="B121" s="20">
        <v>1.5</v>
      </c>
      <c r="C121" s="21" t="s">
        <v>86</v>
      </c>
      <c r="D121" s="11"/>
      <c r="E121" s="36">
        <v>0</v>
      </c>
      <c r="F121" s="36">
        <v>0</v>
      </c>
      <c r="G121" s="36">
        <v>0</v>
      </c>
      <c r="H121" s="13">
        <f t="shared" si="4"/>
        <v>0</v>
      </c>
      <c r="I121" s="12"/>
      <c r="J121" s="14">
        <f t="shared" si="3"/>
        <v>0</v>
      </c>
      <c r="L121" s="34">
        <f t="shared" si="5"/>
        <v>0</v>
      </c>
    </row>
    <row r="122" spans="1:12" ht="15.75" x14ac:dyDescent="0.25">
      <c r="B122" s="24">
        <v>250</v>
      </c>
      <c r="C122" s="21" t="s">
        <v>13</v>
      </c>
      <c r="D122" s="11"/>
      <c r="E122" s="36">
        <v>0</v>
      </c>
      <c r="F122" s="36">
        <v>0</v>
      </c>
      <c r="G122" s="36">
        <v>0</v>
      </c>
      <c r="H122" s="13">
        <f t="shared" si="4"/>
        <v>0</v>
      </c>
      <c r="I122" s="12"/>
      <c r="J122" s="14">
        <f t="shared" ref="J122:J183" si="6">H122-I122</f>
        <v>0</v>
      </c>
      <c r="L122" s="34">
        <f t="shared" si="5"/>
        <v>0</v>
      </c>
    </row>
    <row r="123" spans="1:12" ht="15.75" x14ac:dyDescent="0.25">
      <c r="B123" s="20">
        <v>360</v>
      </c>
      <c r="C123" s="21" t="s">
        <v>87</v>
      </c>
      <c r="D123" s="11"/>
      <c r="E123" s="36">
        <v>0</v>
      </c>
      <c r="F123" s="36">
        <v>0</v>
      </c>
      <c r="G123" s="36">
        <v>0</v>
      </c>
      <c r="H123" s="13">
        <f t="shared" si="4"/>
        <v>0</v>
      </c>
      <c r="I123" s="12"/>
      <c r="J123" s="14">
        <f t="shared" si="6"/>
        <v>0</v>
      </c>
      <c r="L123" s="34">
        <f t="shared" si="5"/>
        <v>0</v>
      </c>
    </row>
    <row r="124" spans="1:12" ht="15.75" x14ac:dyDescent="0.25">
      <c r="B124" s="20">
        <v>1000</v>
      </c>
      <c r="C124" s="21" t="s">
        <v>75</v>
      </c>
      <c r="D124" s="11"/>
      <c r="E124" s="36">
        <v>0</v>
      </c>
      <c r="F124" s="36">
        <v>0</v>
      </c>
      <c r="G124" s="36">
        <v>0</v>
      </c>
      <c r="H124" s="13">
        <f t="shared" si="4"/>
        <v>0</v>
      </c>
      <c r="I124" s="12"/>
      <c r="J124" s="14">
        <f t="shared" si="6"/>
        <v>0</v>
      </c>
      <c r="L124" s="34">
        <f t="shared" si="5"/>
        <v>0</v>
      </c>
    </row>
    <row r="125" spans="1:12" ht="15.75" x14ac:dyDescent="0.25">
      <c r="B125" s="20">
        <v>355</v>
      </c>
      <c r="C125" s="21" t="s">
        <v>88</v>
      </c>
      <c r="D125" s="11"/>
      <c r="E125" s="36">
        <v>0</v>
      </c>
      <c r="F125" s="36">
        <v>0</v>
      </c>
      <c r="G125" s="36">
        <v>0</v>
      </c>
      <c r="H125" s="13">
        <f t="shared" si="4"/>
        <v>0</v>
      </c>
      <c r="I125" s="12"/>
      <c r="J125" s="14">
        <f t="shared" si="6"/>
        <v>0</v>
      </c>
      <c r="L125" s="34">
        <f t="shared" si="5"/>
        <v>0</v>
      </c>
    </row>
    <row r="126" spans="1:12" ht="15.75" x14ac:dyDescent="0.25">
      <c r="B126" s="20">
        <v>330</v>
      </c>
      <c r="C126" s="21" t="s">
        <v>89</v>
      </c>
      <c r="D126" s="11"/>
      <c r="E126" s="36">
        <v>0</v>
      </c>
      <c r="F126" s="36">
        <v>0</v>
      </c>
      <c r="G126" s="36">
        <v>0</v>
      </c>
      <c r="H126" s="13">
        <f t="shared" si="4"/>
        <v>0</v>
      </c>
      <c r="I126" s="12"/>
      <c r="J126" s="14">
        <f t="shared" si="6"/>
        <v>0</v>
      </c>
      <c r="L126" s="34">
        <f t="shared" si="5"/>
        <v>0</v>
      </c>
    </row>
    <row r="127" spans="1:12" ht="15.75" x14ac:dyDescent="0.25">
      <c r="B127" s="20">
        <v>330</v>
      </c>
      <c r="C127" s="21" t="s">
        <v>90</v>
      </c>
      <c r="D127" s="11"/>
      <c r="E127" s="36">
        <v>0</v>
      </c>
      <c r="F127" s="36">
        <v>0</v>
      </c>
      <c r="G127" s="36">
        <v>0</v>
      </c>
      <c r="H127" s="13">
        <f t="shared" si="4"/>
        <v>0</v>
      </c>
      <c r="I127" s="12"/>
      <c r="J127" s="14">
        <f t="shared" si="6"/>
        <v>0</v>
      </c>
      <c r="L127" s="34">
        <f t="shared" si="5"/>
        <v>0</v>
      </c>
    </row>
    <row r="128" spans="1:12" ht="15.75" x14ac:dyDescent="0.25">
      <c r="B128" s="20">
        <v>330</v>
      </c>
      <c r="C128" s="21" t="s">
        <v>91</v>
      </c>
      <c r="D128" s="11"/>
      <c r="E128" s="36">
        <v>0</v>
      </c>
      <c r="F128" s="36">
        <v>0</v>
      </c>
      <c r="G128" s="36">
        <v>0</v>
      </c>
      <c r="H128" s="13">
        <f t="shared" si="4"/>
        <v>0</v>
      </c>
      <c r="I128" s="12"/>
      <c r="J128" s="14">
        <f t="shared" si="6"/>
        <v>0</v>
      </c>
      <c r="L128" s="34">
        <f t="shared" si="5"/>
        <v>0</v>
      </c>
    </row>
    <row r="129" spans="1:12" ht="15.75" x14ac:dyDescent="0.25">
      <c r="B129" s="20">
        <v>330</v>
      </c>
      <c r="C129" s="21" t="s">
        <v>92</v>
      </c>
      <c r="D129" s="11"/>
      <c r="E129" s="36">
        <v>0</v>
      </c>
      <c r="F129" s="36">
        <v>0</v>
      </c>
      <c r="G129" s="36">
        <v>0</v>
      </c>
      <c r="H129" s="13">
        <f t="shared" si="4"/>
        <v>0</v>
      </c>
      <c r="I129" s="12"/>
      <c r="J129" s="14">
        <f t="shared" si="6"/>
        <v>0</v>
      </c>
      <c r="L129" s="34">
        <f t="shared" si="5"/>
        <v>0</v>
      </c>
    </row>
    <row r="130" spans="1:12" ht="15.75" x14ac:dyDescent="0.25">
      <c r="B130" s="20">
        <v>330</v>
      </c>
      <c r="C130" s="21" t="s">
        <v>93</v>
      </c>
      <c r="D130" s="11"/>
      <c r="E130" s="36">
        <v>0</v>
      </c>
      <c r="F130" s="36">
        <v>0</v>
      </c>
      <c r="G130" s="36">
        <v>0</v>
      </c>
      <c r="H130" s="13">
        <f t="shared" si="4"/>
        <v>0</v>
      </c>
      <c r="I130" s="12"/>
      <c r="J130" s="14">
        <f t="shared" si="6"/>
        <v>0</v>
      </c>
      <c r="L130" s="34">
        <f t="shared" si="5"/>
        <v>0</v>
      </c>
    </row>
    <row r="131" spans="1:12" ht="15.75" x14ac:dyDescent="0.25">
      <c r="B131" s="20">
        <v>330</v>
      </c>
      <c r="C131" s="21" t="s">
        <v>94</v>
      </c>
      <c r="D131" s="11"/>
      <c r="E131" s="36">
        <v>0</v>
      </c>
      <c r="F131" s="36">
        <v>0</v>
      </c>
      <c r="G131" s="36">
        <v>0</v>
      </c>
      <c r="H131" s="13">
        <f t="shared" ref="H131:H183" si="7">D131+E131+F131+G131</f>
        <v>0</v>
      </c>
      <c r="I131" s="12"/>
      <c r="J131" s="14">
        <f t="shared" si="6"/>
        <v>0</v>
      </c>
      <c r="L131" s="34">
        <f t="shared" ref="L131:L183" si="8">K131-H131</f>
        <v>0</v>
      </c>
    </row>
    <row r="132" spans="1:12" ht="15.75" x14ac:dyDescent="0.25">
      <c r="B132" s="20">
        <v>330</v>
      </c>
      <c r="C132" s="21" t="s">
        <v>95</v>
      </c>
      <c r="D132" s="11"/>
      <c r="E132" s="36">
        <v>0</v>
      </c>
      <c r="F132" s="36">
        <v>0</v>
      </c>
      <c r="G132" s="36">
        <v>0</v>
      </c>
      <c r="H132" s="13">
        <f t="shared" si="7"/>
        <v>0</v>
      </c>
      <c r="I132" s="12"/>
      <c r="J132" s="14">
        <f t="shared" si="6"/>
        <v>0</v>
      </c>
      <c r="L132" s="34">
        <f t="shared" si="8"/>
        <v>0</v>
      </c>
    </row>
    <row r="133" spans="1:12" ht="15.75" x14ac:dyDescent="0.25">
      <c r="B133" s="20">
        <v>330</v>
      </c>
      <c r="C133" s="21" t="s">
        <v>96</v>
      </c>
      <c r="D133" s="11"/>
      <c r="E133" s="36">
        <v>0</v>
      </c>
      <c r="F133" s="36">
        <v>0</v>
      </c>
      <c r="G133" s="36">
        <v>0</v>
      </c>
      <c r="H133" s="13">
        <f t="shared" si="7"/>
        <v>0</v>
      </c>
      <c r="I133" s="12"/>
      <c r="J133" s="14">
        <f t="shared" si="6"/>
        <v>0</v>
      </c>
      <c r="L133" s="34">
        <f t="shared" si="8"/>
        <v>0</v>
      </c>
    </row>
    <row r="134" spans="1:12" ht="15.75" x14ac:dyDescent="0.25">
      <c r="B134" s="20">
        <v>330</v>
      </c>
      <c r="C134" s="21" t="s">
        <v>97</v>
      </c>
      <c r="D134" s="11"/>
      <c r="E134" s="36">
        <v>0</v>
      </c>
      <c r="F134" s="36">
        <v>0</v>
      </c>
      <c r="G134" s="36">
        <v>0</v>
      </c>
      <c r="H134" s="13">
        <f t="shared" si="7"/>
        <v>0</v>
      </c>
      <c r="I134" s="12"/>
      <c r="J134" s="14">
        <f t="shared" si="6"/>
        <v>0</v>
      </c>
      <c r="L134" s="34">
        <f t="shared" si="8"/>
        <v>0</v>
      </c>
    </row>
    <row r="135" spans="1:12" ht="15.75" x14ac:dyDescent="0.25">
      <c r="B135" s="20"/>
      <c r="C135" s="21" t="s">
        <v>98</v>
      </c>
      <c r="D135" s="11"/>
      <c r="E135" s="36">
        <v>0</v>
      </c>
      <c r="F135" s="36">
        <v>0</v>
      </c>
      <c r="G135" s="36">
        <v>0</v>
      </c>
      <c r="H135" s="13">
        <f t="shared" si="7"/>
        <v>0</v>
      </c>
      <c r="I135" s="12"/>
      <c r="J135" s="14">
        <f t="shared" si="6"/>
        <v>0</v>
      </c>
      <c r="L135" s="34">
        <f t="shared" si="8"/>
        <v>0</v>
      </c>
    </row>
    <row r="136" spans="1:12" ht="15.75" x14ac:dyDescent="0.25">
      <c r="B136" s="24">
        <v>473</v>
      </c>
      <c r="C136" s="21" t="s">
        <v>43</v>
      </c>
      <c r="D136" s="11"/>
      <c r="E136" s="36">
        <v>0</v>
      </c>
      <c r="F136" s="36">
        <v>0</v>
      </c>
      <c r="G136" s="36">
        <v>0</v>
      </c>
      <c r="H136" s="13">
        <f t="shared" si="7"/>
        <v>0</v>
      </c>
      <c r="I136" s="12"/>
      <c r="J136" s="14">
        <f t="shared" si="6"/>
        <v>0</v>
      </c>
      <c r="L136" s="34">
        <f t="shared" si="8"/>
        <v>0</v>
      </c>
    </row>
    <row r="137" spans="1:12" ht="15.75" x14ac:dyDescent="0.25">
      <c r="B137" s="24">
        <v>473</v>
      </c>
      <c r="C137" s="21" t="s">
        <v>45</v>
      </c>
      <c r="D137" s="11"/>
      <c r="E137" s="36">
        <v>0</v>
      </c>
      <c r="F137" s="36">
        <v>0</v>
      </c>
      <c r="G137" s="36">
        <v>0</v>
      </c>
      <c r="H137" s="13">
        <f t="shared" si="7"/>
        <v>0</v>
      </c>
      <c r="I137" s="12"/>
      <c r="J137" s="14">
        <f t="shared" si="6"/>
        <v>0</v>
      </c>
      <c r="L137" s="34">
        <f t="shared" si="8"/>
        <v>0</v>
      </c>
    </row>
    <row r="138" spans="1:12" ht="15.75" x14ac:dyDescent="0.25">
      <c r="A138">
        <v>599675</v>
      </c>
      <c r="B138" s="24">
        <v>473</v>
      </c>
      <c r="C138" s="21" t="s">
        <v>99</v>
      </c>
      <c r="D138" s="11"/>
      <c r="E138" s="36">
        <v>0</v>
      </c>
      <c r="F138" s="36">
        <v>0</v>
      </c>
      <c r="G138" s="36">
        <v>0</v>
      </c>
      <c r="H138" s="13">
        <f t="shared" si="7"/>
        <v>0</v>
      </c>
      <c r="I138" s="12"/>
      <c r="J138" s="14">
        <f t="shared" si="6"/>
        <v>0</v>
      </c>
      <c r="L138" s="34">
        <f t="shared" si="8"/>
        <v>0</v>
      </c>
    </row>
    <row r="139" spans="1:12" ht="15.75" x14ac:dyDescent="0.25">
      <c r="B139" s="20">
        <v>473</v>
      </c>
      <c r="C139" s="21" t="s">
        <v>46</v>
      </c>
      <c r="D139" s="11"/>
      <c r="E139" s="36">
        <v>0</v>
      </c>
      <c r="F139" s="36">
        <v>0</v>
      </c>
      <c r="G139" s="36">
        <v>0</v>
      </c>
      <c r="H139" s="13">
        <f t="shared" si="7"/>
        <v>0</v>
      </c>
      <c r="I139" s="12"/>
      <c r="J139" s="14">
        <f t="shared" si="6"/>
        <v>0</v>
      </c>
      <c r="L139" s="34">
        <f t="shared" si="8"/>
        <v>0</v>
      </c>
    </row>
    <row r="140" spans="1:12" ht="15.75" x14ac:dyDescent="0.25">
      <c r="A140">
        <v>522564</v>
      </c>
      <c r="B140" s="20">
        <v>473</v>
      </c>
      <c r="C140" s="21" t="s">
        <v>100</v>
      </c>
      <c r="D140" s="11"/>
      <c r="E140" s="36">
        <v>0</v>
      </c>
      <c r="F140" s="36">
        <v>0</v>
      </c>
      <c r="G140" s="36">
        <v>0</v>
      </c>
      <c r="H140" s="13">
        <f t="shared" si="7"/>
        <v>0</v>
      </c>
      <c r="I140" s="12"/>
      <c r="J140" s="14">
        <f>H140-I140</f>
        <v>0</v>
      </c>
      <c r="L140" s="34">
        <f t="shared" si="8"/>
        <v>0</v>
      </c>
    </row>
    <row r="141" spans="1:12" ht="15.75" x14ac:dyDescent="0.25">
      <c r="B141" s="20">
        <v>625</v>
      </c>
      <c r="C141" s="21" t="s">
        <v>100</v>
      </c>
      <c r="D141" s="11"/>
      <c r="E141" s="36">
        <v>0</v>
      </c>
      <c r="F141" s="36">
        <v>0</v>
      </c>
      <c r="G141" s="36">
        <v>0</v>
      </c>
      <c r="H141" s="13">
        <f t="shared" si="7"/>
        <v>0</v>
      </c>
      <c r="I141" s="12"/>
      <c r="J141" s="14">
        <f t="shared" si="6"/>
        <v>0</v>
      </c>
      <c r="L141" s="34">
        <f t="shared" si="8"/>
        <v>0</v>
      </c>
    </row>
    <row r="142" spans="1:12" ht="15.75" x14ac:dyDescent="0.25">
      <c r="A142" t="s">
        <v>101</v>
      </c>
      <c r="B142" s="20"/>
      <c r="C142" s="21" t="s">
        <v>102</v>
      </c>
      <c r="D142" s="11"/>
      <c r="E142" s="36">
        <v>0</v>
      </c>
      <c r="F142" s="36">
        <v>0</v>
      </c>
      <c r="G142" s="36">
        <v>0</v>
      </c>
      <c r="H142" s="13">
        <f t="shared" si="7"/>
        <v>0</v>
      </c>
      <c r="I142" s="12"/>
      <c r="J142" s="14">
        <f t="shared" si="6"/>
        <v>0</v>
      </c>
      <c r="L142" s="34">
        <f t="shared" si="8"/>
        <v>0</v>
      </c>
    </row>
    <row r="143" spans="1:12" ht="15.75" x14ac:dyDescent="0.25">
      <c r="B143" s="20">
        <v>400</v>
      </c>
      <c r="C143" s="21" t="s">
        <v>103</v>
      </c>
      <c r="D143" s="11"/>
      <c r="E143" s="36">
        <v>0</v>
      </c>
      <c r="F143" s="36">
        <v>0</v>
      </c>
      <c r="G143" s="36">
        <v>0</v>
      </c>
      <c r="H143" s="13">
        <f t="shared" si="7"/>
        <v>0</v>
      </c>
      <c r="I143" s="12"/>
      <c r="J143" s="14">
        <f t="shared" si="6"/>
        <v>0</v>
      </c>
      <c r="L143" s="34">
        <f t="shared" si="8"/>
        <v>0</v>
      </c>
    </row>
    <row r="144" spans="1:12" ht="15.75" x14ac:dyDescent="0.25">
      <c r="B144" s="20">
        <v>300</v>
      </c>
      <c r="C144" s="21" t="s">
        <v>43</v>
      </c>
      <c r="D144" s="11"/>
      <c r="E144" s="36">
        <v>0</v>
      </c>
      <c r="F144" s="36">
        <v>0</v>
      </c>
      <c r="G144" s="36">
        <v>0</v>
      </c>
      <c r="H144" s="13">
        <f t="shared" si="7"/>
        <v>0</v>
      </c>
      <c r="I144" s="12"/>
      <c r="J144" s="14">
        <f t="shared" si="6"/>
        <v>0</v>
      </c>
      <c r="L144" s="34">
        <f t="shared" si="8"/>
        <v>0</v>
      </c>
    </row>
    <row r="145" spans="1:12" ht="15.75" x14ac:dyDescent="0.25">
      <c r="B145" s="20">
        <v>300</v>
      </c>
      <c r="C145" s="21" t="s">
        <v>45</v>
      </c>
      <c r="D145" s="11"/>
      <c r="E145" s="36">
        <v>0</v>
      </c>
      <c r="F145" s="36">
        <v>0</v>
      </c>
      <c r="G145" s="36">
        <v>0</v>
      </c>
      <c r="H145" s="13">
        <f t="shared" si="7"/>
        <v>0</v>
      </c>
      <c r="I145" s="12"/>
      <c r="J145" s="14">
        <f t="shared" si="6"/>
        <v>0</v>
      </c>
      <c r="L145" s="34">
        <f t="shared" si="8"/>
        <v>0</v>
      </c>
    </row>
    <row r="146" spans="1:12" ht="15.75" x14ac:dyDescent="0.25">
      <c r="B146" s="20">
        <v>300</v>
      </c>
      <c r="C146" s="21" t="s">
        <v>44</v>
      </c>
      <c r="D146" s="11"/>
      <c r="E146" s="36">
        <v>0</v>
      </c>
      <c r="F146" s="36">
        <v>0</v>
      </c>
      <c r="G146" s="36">
        <v>0</v>
      </c>
      <c r="H146" s="13">
        <f t="shared" si="7"/>
        <v>0</v>
      </c>
      <c r="I146" s="12"/>
      <c r="J146" s="14">
        <f t="shared" si="6"/>
        <v>0</v>
      </c>
      <c r="L146" s="34">
        <f t="shared" si="8"/>
        <v>0</v>
      </c>
    </row>
    <row r="147" spans="1:12" ht="15.75" x14ac:dyDescent="0.25">
      <c r="B147" s="20">
        <v>1090</v>
      </c>
      <c r="C147" s="21" t="s">
        <v>11</v>
      </c>
      <c r="D147" s="11"/>
      <c r="E147" s="36">
        <v>0</v>
      </c>
      <c r="F147" s="36">
        <v>0</v>
      </c>
      <c r="G147" s="36">
        <v>0</v>
      </c>
      <c r="H147" s="13">
        <f t="shared" si="7"/>
        <v>0</v>
      </c>
      <c r="I147" s="12"/>
      <c r="J147" s="14">
        <f t="shared" si="6"/>
        <v>0</v>
      </c>
      <c r="L147" s="34">
        <f t="shared" si="8"/>
        <v>0</v>
      </c>
    </row>
    <row r="148" spans="1:12" ht="15.75" x14ac:dyDescent="0.25">
      <c r="B148" s="20">
        <v>2600</v>
      </c>
      <c r="C148" s="21" t="s">
        <v>11</v>
      </c>
      <c r="D148" s="11"/>
      <c r="E148" s="36">
        <v>0</v>
      </c>
      <c r="F148" s="36">
        <v>0</v>
      </c>
      <c r="G148" s="36">
        <v>0</v>
      </c>
      <c r="H148" s="13">
        <f t="shared" si="7"/>
        <v>0</v>
      </c>
      <c r="I148" s="12"/>
      <c r="J148" s="14">
        <f t="shared" si="6"/>
        <v>0</v>
      </c>
      <c r="L148" s="34">
        <f t="shared" si="8"/>
        <v>0</v>
      </c>
    </row>
    <row r="149" spans="1:12" ht="15.75" x14ac:dyDescent="0.25">
      <c r="B149" s="20">
        <v>250</v>
      </c>
      <c r="C149" s="21" t="s">
        <v>104</v>
      </c>
      <c r="D149" s="11"/>
      <c r="E149" s="36">
        <v>0</v>
      </c>
      <c r="F149" s="36">
        <v>0</v>
      </c>
      <c r="G149" s="36">
        <v>0</v>
      </c>
      <c r="H149" s="13">
        <f t="shared" si="7"/>
        <v>0</v>
      </c>
      <c r="I149" s="12"/>
      <c r="J149" s="14">
        <f t="shared" si="6"/>
        <v>0</v>
      </c>
      <c r="L149" s="34">
        <f t="shared" si="8"/>
        <v>0</v>
      </c>
    </row>
    <row r="150" spans="1:12" ht="15.75" x14ac:dyDescent="0.25">
      <c r="B150" s="20"/>
      <c r="C150" s="21" t="s">
        <v>105</v>
      </c>
      <c r="D150" s="11"/>
      <c r="E150" s="36">
        <v>0</v>
      </c>
      <c r="F150" s="36">
        <v>0</v>
      </c>
      <c r="G150" s="36">
        <v>0</v>
      </c>
      <c r="H150" s="13">
        <f t="shared" si="7"/>
        <v>0</v>
      </c>
      <c r="I150" s="12"/>
      <c r="J150" s="14">
        <f t="shared" si="6"/>
        <v>0</v>
      </c>
      <c r="L150" s="34">
        <f t="shared" si="8"/>
        <v>0</v>
      </c>
    </row>
    <row r="151" spans="1:12" ht="15.75" x14ac:dyDescent="0.25">
      <c r="B151" s="20"/>
      <c r="C151" s="21" t="s">
        <v>16</v>
      </c>
      <c r="D151" s="11"/>
      <c r="E151" s="36">
        <v>0</v>
      </c>
      <c r="F151" s="36">
        <v>0</v>
      </c>
      <c r="G151" s="36">
        <v>0</v>
      </c>
      <c r="H151" s="13">
        <f t="shared" si="7"/>
        <v>0</v>
      </c>
      <c r="I151" s="12"/>
      <c r="J151" s="14">
        <f t="shared" si="6"/>
        <v>0</v>
      </c>
      <c r="L151" s="34">
        <f t="shared" si="8"/>
        <v>0</v>
      </c>
    </row>
    <row r="152" spans="1:12" ht="15.75" x14ac:dyDescent="0.25">
      <c r="B152" s="20"/>
      <c r="C152" s="21" t="s">
        <v>106</v>
      </c>
      <c r="D152" s="11"/>
      <c r="E152" s="36">
        <v>0</v>
      </c>
      <c r="F152" s="36">
        <v>0</v>
      </c>
      <c r="G152" s="36">
        <v>0</v>
      </c>
      <c r="H152" s="13">
        <f t="shared" si="7"/>
        <v>0</v>
      </c>
      <c r="I152" s="12"/>
      <c r="J152" s="14">
        <f t="shared" si="6"/>
        <v>0</v>
      </c>
      <c r="L152" s="34">
        <f t="shared" si="8"/>
        <v>0</v>
      </c>
    </row>
    <row r="153" spans="1:12" ht="15.75" x14ac:dyDescent="0.25">
      <c r="B153" s="20"/>
      <c r="C153" s="21" t="s">
        <v>107</v>
      </c>
      <c r="D153" s="11"/>
      <c r="E153" s="36">
        <v>0</v>
      </c>
      <c r="F153" s="36">
        <v>0</v>
      </c>
      <c r="G153" s="36">
        <v>0</v>
      </c>
      <c r="H153" s="13">
        <f t="shared" si="7"/>
        <v>0</v>
      </c>
      <c r="I153" s="12"/>
      <c r="J153" s="14">
        <f t="shared" si="6"/>
        <v>0</v>
      </c>
      <c r="L153" s="34">
        <f t="shared" si="8"/>
        <v>0</v>
      </c>
    </row>
    <row r="154" spans="1:12" ht="15.75" x14ac:dyDescent="0.25">
      <c r="B154" s="20"/>
      <c r="C154" s="21" t="s">
        <v>108</v>
      </c>
      <c r="D154" s="11"/>
      <c r="E154" s="36">
        <v>0</v>
      </c>
      <c r="F154" s="36">
        <v>0</v>
      </c>
      <c r="G154" s="36">
        <v>0</v>
      </c>
      <c r="H154" s="13">
        <f t="shared" si="7"/>
        <v>0</v>
      </c>
      <c r="I154" s="12"/>
      <c r="J154" s="14">
        <f t="shared" si="6"/>
        <v>0</v>
      </c>
      <c r="L154" s="34">
        <f t="shared" si="8"/>
        <v>0</v>
      </c>
    </row>
    <row r="155" spans="1:12" ht="15.75" x14ac:dyDescent="0.25">
      <c r="A155">
        <v>699952</v>
      </c>
      <c r="B155" s="20"/>
      <c r="C155" s="21" t="s">
        <v>109</v>
      </c>
      <c r="D155" s="11"/>
      <c r="E155" s="36">
        <v>0</v>
      </c>
      <c r="F155" s="36">
        <v>0</v>
      </c>
      <c r="G155" s="36">
        <v>0</v>
      </c>
      <c r="H155" s="13">
        <f t="shared" si="7"/>
        <v>0</v>
      </c>
      <c r="I155" s="12"/>
      <c r="J155" s="14">
        <f t="shared" si="6"/>
        <v>0</v>
      </c>
      <c r="L155" s="34">
        <f t="shared" si="8"/>
        <v>0</v>
      </c>
    </row>
    <row r="156" spans="1:12" ht="15.75" x14ac:dyDescent="0.25">
      <c r="A156">
        <v>501020</v>
      </c>
      <c r="B156" s="24">
        <v>360</v>
      </c>
      <c r="C156" s="21" t="s">
        <v>110</v>
      </c>
      <c r="D156" s="11"/>
      <c r="E156" s="36">
        <v>3</v>
      </c>
      <c r="F156" s="36">
        <v>7</v>
      </c>
      <c r="G156" s="36">
        <v>9</v>
      </c>
      <c r="H156" s="13">
        <f t="shared" si="7"/>
        <v>19</v>
      </c>
      <c r="I156" s="12"/>
      <c r="J156" s="14">
        <f t="shared" si="6"/>
        <v>19</v>
      </c>
      <c r="K156">
        <v>19</v>
      </c>
      <c r="L156" s="34">
        <f t="shared" si="8"/>
        <v>0</v>
      </c>
    </row>
    <row r="157" spans="1:12" ht="15.75" x14ac:dyDescent="0.25">
      <c r="A157">
        <v>501505</v>
      </c>
      <c r="B157" s="24">
        <v>360</v>
      </c>
      <c r="C157" s="21" t="s">
        <v>17</v>
      </c>
      <c r="D157" s="11"/>
      <c r="E157" s="36">
        <v>0</v>
      </c>
      <c r="F157" s="36">
        <v>0</v>
      </c>
      <c r="G157" s="36">
        <v>0</v>
      </c>
      <c r="H157" s="13">
        <f t="shared" si="7"/>
        <v>0</v>
      </c>
      <c r="I157" s="12"/>
      <c r="J157" s="14">
        <f t="shared" si="6"/>
        <v>0</v>
      </c>
      <c r="L157" s="34">
        <f t="shared" si="8"/>
        <v>0</v>
      </c>
    </row>
    <row r="158" spans="1:12" ht="15.75" x14ac:dyDescent="0.25">
      <c r="B158" s="20">
        <v>250</v>
      </c>
      <c r="C158" s="21" t="s">
        <v>111</v>
      </c>
      <c r="D158" s="11"/>
      <c r="E158" s="36">
        <v>0</v>
      </c>
      <c r="F158" s="36">
        <v>0</v>
      </c>
      <c r="G158" s="36">
        <v>0</v>
      </c>
      <c r="H158" s="13">
        <f t="shared" si="7"/>
        <v>0</v>
      </c>
      <c r="I158" s="12"/>
      <c r="J158" s="14">
        <f t="shared" si="6"/>
        <v>0</v>
      </c>
      <c r="L158" s="34">
        <f t="shared" si="8"/>
        <v>0</v>
      </c>
    </row>
    <row r="159" spans="1:12" ht="15.75" x14ac:dyDescent="0.25">
      <c r="B159" s="20">
        <v>250</v>
      </c>
      <c r="C159" s="21" t="s">
        <v>112</v>
      </c>
      <c r="D159" s="11"/>
      <c r="E159" s="36">
        <v>0</v>
      </c>
      <c r="F159" s="36">
        <v>0</v>
      </c>
      <c r="G159" s="36">
        <v>0</v>
      </c>
      <c r="H159" s="13">
        <f t="shared" si="7"/>
        <v>0</v>
      </c>
      <c r="I159" s="12"/>
      <c r="J159" s="14">
        <f t="shared" si="6"/>
        <v>0</v>
      </c>
      <c r="L159" s="34">
        <f t="shared" si="8"/>
        <v>0</v>
      </c>
    </row>
    <row r="160" spans="1:12" ht="15.75" x14ac:dyDescent="0.25">
      <c r="A160">
        <v>501207</v>
      </c>
      <c r="B160" s="20">
        <v>360</v>
      </c>
      <c r="C160" s="21" t="s">
        <v>113</v>
      </c>
      <c r="D160" s="11"/>
      <c r="E160" s="36">
        <v>0</v>
      </c>
      <c r="F160" s="36">
        <v>0</v>
      </c>
      <c r="G160" s="36">
        <v>0</v>
      </c>
      <c r="H160" s="13">
        <f t="shared" si="7"/>
        <v>0</v>
      </c>
      <c r="I160" s="12"/>
      <c r="J160" s="14">
        <f t="shared" si="6"/>
        <v>0</v>
      </c>
      <c r="L160" s="34">
        <f t="shared" si="8"/>
        <v>0</v>
      </c>
    </row>
    <row r="161" spans="1:12" ht="15.75" x14ac:dyDescent="0.25">
      <c r="A161">
        <v>599858</v>
      </c>
      <c r="B161" s="22"/>
      <c r="C161" s="23" t="s">
        <v>114</v>
      </c>
      <c r="D161" s="11"/>
      <c r="E161" s="36">
        <v>0</v>
      </c>
      <c r="F161" s="36">
        <v>0</v>
      </c>
      <c r="G161" s="36">
        <v>0</v>
      </c>
      <c r="H161" s="13">
        <f t="shared" si="7"/>
        <v>0</v>
      </c>
      <c r="I161" s="12"/>
      <c r="J161" s="14">
        <f t="shared" si="6"/>
        <v>0</v>
      </c>
      <c r="L161" s="34">
        <f t="shared" si="8"/>
        <v>0</v>
      </c>
    </row>
    <row r="162" spans="1:12" ht="15.75" x14ac:dyDescent="0.25">
      <c r="A162">
        <v>599857</v>
      </c>
      <c r="B162" s="22"/>
      <c r="C162" s="23" t="s">
        <v>115</v>
      </c>
      <c r="D162" s="11"/>
      <c r="E162" s="36">
        <v>0</v>
      </c>
      <c r="F162" s="36">
        <v>0</v>
      </c>
      <c r="G162" s="36">
        <v>0</v>
      </c>
      <c r="H162" s="13">
        <f t="shared" si="7"/>
        <v>0</v>
      </c>
      <c r="I162" s="12"/>
      <c r="J162" s="14">
        <f t="shared" si="6"/>
        <v>0</v>
      </c>
      <c r="L162" s="34">
        <f t="shared" si="8"/>
        <v>0</v>
      </c>
    </row>
    <row r="163" spans="1:12" ht="15.75" x14ac:dyDescent="0.25">
      <c r="A163">
        <v>621972</v>
      </c>
      <c r="B163" s="20"/>
      <c r="C163" s="21" t="s">
        <v>116</v>
      </c>
      <c r="D163" s="11"/>
      <c r="E163" s="36">
        <v>0</v>
      </c>
      <c r="F163" s="36">
        <v>0</v>
      </c>
      <c r="G163" s="36">
        <v>0</v>
      </c>
      <c r="H163" s="13">
        <f t="shared" si="7"/>
        <v>0</v>
      </c>
      <c r="I163" s="12"/>
      <c r="J163" s="14">
        <f t="shared" si="6"/>
        <v>0</v>
      </c>
      <c r="L163" s="34">
        <f t="shared" si="8"/>
        <v>0</v>
      </c>
    </row>
    <row r="164" spans="1:12" ht="15.75" x14ac:dyDescent="0.25">
      <c r="A164">
        <v>622165</v>
      </c>
      <c r="B164" s="20"/>
      <c r="C164" s="21" t="s">
        <v>117</v>
      </c>
      <c r="D164" s="11"/>
      <c r="E164" s="36">
        <v>1</v>
      </c>
      <c r="F164" s="36">
        <v>0</v>
      </c>
      <c r="G164" s="36">
        <v>1</v>
      </c>
      <c r="H164" s="13">
        <f t="shared" si="7"/>
        <v>2</v>
      </c>
      <c r="I164" s="12"/>
      <c r="J164" s="14">
        <f t="shared" si="6"/>
        <v>2</v>
      </c>
      <c r="K164">
        <v>2</v>
      </c>
      <c r="L164" s="34">
        <f t="shared" si="8"/>
        <v>0</v>
      </c>
    </row>
    <row r="165" spans="1:12" ht="15.75" x14ac:dyDescent="0.25">
      <c r="B165" s="20">
        <v>300</v>
      </c>
      <c r="C165" s="21" t="s">
        <v>104</v>
      </c>
      <c r="D165" s="11"/>
      <c r="E165" s="36">
        <v>0</v>
      </c>
      <c r="F165" s="36">
        <v>0</v>
      </c>
      <c r="G165" s="36">
        <v>0</v>
      </c>
      <c r="H165" s="13">
        <f t="shared" si="7"/>
        <v>0</v>
      </c>
      <c r="I165" s="12"/>
      <c r="J165" s="14">
        <f t="shared" si="6"/>
        <v>0</v>
      </c>
      <c r="L165" s="34">
        <f t="shared" si="8"/>
        <v>0</v>
      </c>
    </row>
    <row r="166" spans="1:12" ht="15.75" x14ac:dyDescent="0.25">
      <c r="A166">
        <v>622164</v>
      </c>
      <c r="B166" s="20"/>
      <c r="C166" s="21" t="s">
        <v>118</v>
      </c>
      <c r="D166" s="11"/>
      <c r="E166" s="36">
        <v>0</v>
      </c>
      <c r="F166" s="36">
        <v>0</v>
      </c>
      <c r="G166" s="36">
        <v>0</v>
      </c>
      <c r="H166" s="13">
        <f t="shared" si="7"/>
        <v>0</v>
      </c>
      <c r="I166" s="12"/>
      <c r="J166" s="14">
        <f t="shared" si="6"/>
        <v>0</v>
      </c>
      <c r="L166" s="34">
        <f t="shared" si="8"/>
        <v>0</v>
      </c>
    </row>
    <row r="167" spans="1:12" ht="15.75" x14ac:dyDescent="0.25">
      <c r="A167">
        <v>621967</v>
      </c>
      <c r="B167" s="20"/>
      <c r="C167" s="21" t="s">
        <v>118</v>
      </c>
      <c r="D167" s="11"/>
      <c r="E167" s="36">
        <v>1</v>
      </c>
      <c r="F167" s="36">
        <v>0</v>
      </c>
      <c r="G167" s="36">
        <v>1</v>
      </c>
      <c r="H167" s="13">
        <f t="shared" si="7"/>
        <v>2</v>
      </c>
      <c r="I167" s="12"/>
      <c r="J167" s="14">
        <f t="shared" si="6"/>
        <v>2</v>
      </c>
      <c r="K167">
        <v>2</v>
      </c>
      <c r="L167" s="34">
        <f t="shared" si="8"/>
        <v>0</v>
      </c>
    </row>
    <row r="168" spans="1:12" ht="15.75" x14ac:dyDescent="0.25">
      <c r="A168">
        <v>500032</v>
      </c>
      <c r="B168" s="24">
        <v>360</v>
      </c>
      <c r="C168" s="21" t="s">
        <v>104</v>
      </c>
      <c r="D168" s="11">
        <v>81</v>
      </c>
      <c r="E168" s="36">
        <v>12</v>
      </c>
      <c r="F168" s="36">
        <v>10</v>
      </c>
      <c r="G168" s="36">
        <v>40</v>
      </c>
      <c r="H168" s="13">
        <f t="shared" si="7"/>
        <v>143</v>
      </c>
      <c r="I168" s="12"/>
      <c r="J168" s="14">
        <f t="shared" si="6"/>
        <v>143</v>
      </c>
      <c r="K168">
        <v>144</v>
      </c>
      <c r="L168" s="34">
        <f t="shared" si="8"/>
        <v>1</v>
      </c>
    </row>
    <row r="169" spans="1:12" ht="15.75" x14ac:dyDescent="0.25">
      <c r="A169">
        <v>522459</v>
      </c>
      <c r="B169" s="24">
        <v>360</v>
      </c>
      <c r="C169" s="21" t="s">
        <v>119</v>
      </c>
      <c r="D169" s="11">
        <v>15</v>
      </c>
      <c r="E169" s="36">
        <v>45</v>
      </c>
      <c r="F169" s="36">
        <v>25</v>
      </c>
      <c r="G169" s="36">
        <v>20</v>
      </c>
      <c r="H169" s="13">
        <f t="shared" si="7"/>
        <v>105</v>
      </c>
      <c r="I169" s="12"/>
      <c r="J169" s="14">
        <f t="shared" si="6"/>
        <v>105</v>
      </c>
      <c r="K169">
        <v>105</v>
      </c>
      <c r="L169" s="34">
        <f t="shared" si="8"/>
        <v>0</v>
      </c>
    </row>
    <row r="170" spans="1:12" ht="15.75" x14ac:dyDescent="0.25">
      <c r="A170">
        <v>522451</v>
      </c>
      <c r="B170" s="24">
        <v>360</v>
      </c>
      <c r="C170" s="21" t="s">
        <v>120</v>
      </c>
      <c r="D170" s="11"/>
      <c r="E170" s="36">
        <v>45</v>
      </c>
      <c r="F170" s="36">
        <v>25</v>
      </c>
      <c r="G170" s="36">
        <v>20</v>
      </c>
      <c r="H170" s="13">
        <f t="shared" si="7"/>
        <v>90</v>
      </c>
      <c r="I170" s="12"/>
      <c r="J170" s="14">
        <f t="shared" si="6"/>
        <v>90</v>
      </c>
      <c r="K170">
        <v>90</v>
      </c>
      <c r="L170" s="34">
        <f t="shared" si="8"/>
        <v>0</v>
      </c>
    </row>
    <row r="171" spans="1:12" ht="15.75" x14ac:dyDescent="0.25">
      <c r="A171">
        <v>522450</v>
      </c>
      <c r="B171" s="24">
        <v>360</v>
      </c>
      <c r="C171" s="21" t="s">
        <v>121</v>
      </c>
      <c r="D171" s="11">
        <v>103</v>
      </c>
      <c r="E171" s="36">
        <v>45</v>
      </c>
      <c r="F171" s="36">
        <v>25</v>
      </c>
      <c r="G171" s="36">
        <v>20</v>
      </c>
      <c r="H171" s="13">
        <f t="shared" si="7"/>
        <v>193</v>
      </c>
      <c r="I171" s="12"/>
      <c r="J171" s="14">
        <f t="shared" si="6"/>
        <v>193</v>
      </c>
      <c r="K171">
        <v>193</v>
      </c>
      <c r="L171" s="34">
        <f t="shared" si="8"/>
        <v>0</v>
      </c>
    </row>
    <row r="172" spans="1:12" ht="15.75" x14ac:dyDescent="0.25">
      <c r="A172">
        <v>522461</v>
      </c>
      <c r="B172" s="20">
        <v>360</v>
      </c>
      <c r="C172" s="21" t="s">
        <v>122</v>
      </c>
      <c r="D172" s="11"/>
      <c r="E172" s="36">
        <v>0</v>
      </c>
      <c r="F172" s="36">
        <v>0</v>
      </c>
      <c r="G172" s="36">
        <v>0</v>
      </c>
      <c r="H172" s="13">
        <f t="shared" si="7"/>
        <v>0</v>
      </c>
      <c r="I172" s="12"/>
      <c r="J172" s="14">
        <f t="shared" si="6"/>
        <v>0</v>
      </c>
      <c r="L172" s="34">
        <f t="shared" si="8"/>
        <v>0</v>
      </c>
    </row>
    <row r="173" spans="1:12" ht="15.75" x14ac:dyDescent="0.25">
      <c r="A173">
        <v>522463</v>
      </c>
      <c r="B173" s="20">
        <v>360</v>
      </c>
      <c r="C173" s="21" t="s">
        <v>123</v>
      </c>
      <c r="D173" s="11"/>
      <c r="E173" s="36">
        <v>0</v>
      </c>
      <c r="F173" s="36">
        <v>0</v>
      </c>
      <c r="G173" s="36">
        <v>0</v>
      </c>
      <c r="H173" s="13">
        <f t="shared" si="7"/>
        <v>0</v>
      </c>
      <c r="I173" s="12"/>
      <c r="J173" s="14">
        <f t="shared" si="6"/>
        <v>0</v>
      </c>
      <c r="L173" s="34">
        <f t="shared" si="8"/>
        <v>0</v>
      </c>
    </row>
    <row r="174" spans="1:12" ht="15.75" x14ac:dyDescent="0.25">
      <c r="A174">
        <v>522462</v>
      </c>
      <c r="B174" s="22">
        <v>360</v>
      </c>
      <c r="C174" s="23" t="s">
        <v>124</v>
      </c>
      <c r="D174" s="11"/>
      <c r="E174" s="36">
        <v>0</v>
      </c>
      <c r="F174" s="36">
        <v>0</v>
      </c>
      <c r="G174" s="36">
        <v>0</v>
      </c>
      <c r="H174" s="13">
        <f t="shared" si="7"/>
        <v>0</v>
      </c>
      <c r="I174" s="12"/>
      <c r="J174" s="14">
        <f t="shared" si="6"/>
        <v>0</v>
      </c>
      <c r="L174" s="34">
        <f t="shared" si="8"/>
        <v>0</v>
      </c>
    </row>
    <row r="175" spans="1:12" ht="15.75" x14ac:dyDescent="0.25">
      <c r="A175">
        <v>522460</v>
      </c>
      <c r="B175" s="22">
        <v>360</v>
      </c>
      <c r="C175" s="23" t="s">
        <v>125</v>
      </c>
      <c r="D175" s="11"/>
      <c r="E175" s="36">
        <v>0</v>
      </c>
      <c r="F175" s="36">
        <v>0</v>
      </c>
      <c r="G175" s="36">
        <v>0</v>
      </c>
      <c r="H175" s="13">
        <f t="shared" si="7"/>
        <v>0</v>
      </c>
      <c r="I175" s="12"/>
      <c r="J175" s="14">
        <f t="shared" si="6"/>
        <v>0</v>
      </c>
      <c r="L175" s="34">
        <f t="shared" si="8"/>
        <v>0</v>
      </c>
    </row>
    <row r="176" spans="1:12" ht="15.75" x14ac:dyDescent="0.25">
      <c r="A176">
        <v>522921</v>
      </c>
      <c r="B176" s="20">
        <v>600</v>
      </c>
      <c r="C176" s="21" t="s">
        <v>126</v>
      </c>
      <c r="D176" s="11"/>
      <c r="E176" s="36">
        <v>0</v>
      </c>
      <c r="F176" s="36">
        <v>0</v>
      </c>
      <c r="G176" s="36">
        <v>0</v>
      </c>
      <c r="H176" s="13">
        <f t="shared" si="7"/>
        <v>0</v>
      </c>
      <c r="I176" s="12"/>
      <c r="J176" s="14">
        <f t="shared" si="6"/>
        <v>0</v>
      </c>
      <c r="L176" s="34">
        <f t="shared" si="8"/>
        <v>0</v>
      </c>
    </row>
    <row r="177" spans="1:12" ht="15.75" x14ac:dyDescent="0.25">
      <c r="A177">
        <v>522906</v>
      </c>
      <c r="B177" s="24">
        <v>600</v>
      </c>
      <c r="C177" s="21" t="s">
        <v>121</v>
      </c>
      <c r="D177" s="11"/>
      <c r="E177" s="36">
        <v>0</v>
      </c>
      <c r="F177" s="36">
        <v>0</v>
      </c>
      <c r="G177" s="36">
        <v>0</v>
      </c>
      <c r="H177" s="13">
        <f t="shared" si="7"/>
        <v>0</v>
      </c>
      <c r="I177" s="12"/>
      <c r="J177" s="14">
        <f t="shared" si="6"/>
        <v>0</v>
      </c>
      <c r="L177" s="34">
        <f t="shared" si="8"/>
        <v>0</v>
      </c>
    </row>
    <row r="178" spans="1:12" ht="15.75" x14ac:dyDescent="0.25">
      <c r="A178">
        <v>522907</v>
      </c>
      <c r="B178" s="24">
        <v>600</v>
      </c>
      <c r="C178" s="21" t="s">
        <v>120</v>
      </c>
      <c r="D178" s="11"/>
      <c r="E178" s="36">
        <v>0</v>
      </c>
      <c r="F178" s="36">
        <v>0</v>
      </c>
      <c r="G178" s="36">
        <v>0</v>
      </c>
      <c r="H178" s="13">
        <f t="shared" si="7"/>
        <v>0</v>
      </c>
      <c r="I178" s="12"/>
      <c r="J178" s="14">
        <f t="shared" si="6"/>
        <v>0</v>
      </c>
      <c r="L178" s="34">
        <f t="shared" si="8"/>
        <v>0</v>
      </c>
    </row>
    <row r="179" spans="1:12" ht="15.75" x14ac:dyDescent="0.25">
      <c r="A179">
        <v>522499</v>
      </c>
      <c r="B179" s="20">
        <v>625</v>
      </c>
      <c r="C179" s="21" t="s">
        <v>14</v>
      </c>
      <c r="D179" s="11"/>
      <c r="E179" s="36">
        <v>0</v>
      </c>
      <c r="F179" s="36">
        <v>0</v>
      </c>
      <c r="G179" s="36">
        <v>0</v>
      </c>
      <c r="H179" s="13">
        <f t="shared" si="7"/>
        <v>0</v>
      </c>
      <c r="I179" s="12"/>
      <c r="J179" s="14">
        <f t="shared" si="6"/>
        <v>0</v>
      </c>
      <c r="L179" s="34">
        <f t="shared" si="8"/>
        <v>0</v>
      </c>
    </row>
    <row r="180" spans="1:12" ht="15.75" x14ac:dyDescent="0.25">
      <c r="A180">
        <v>522496</v>
      </c>
      <c r="B180" s="20">
        <v>625</v>
      </c>
      <c r="C180" s="21" t="s">
        <v>127</v>
      </c>
      <c r="D180" s="11"/>
      <c r="E180" s="36">
        <v>0</v>
      </c>
      <c r="F180" s="36">
        <v>0</v>
      </c>
      <c r="G180" s="36">
        <v>0</v>
      </c>
      <c r="H180" s="13">
        <f t="shared" si="7"/>
        <v>0</v>
      </c>
      <c r="I180" s="12"/>
      <c r="J180" s="14">
        <f t="shared" si="6"/>
        <v>0</v>
      </c>
      <c r="L180" s="34">
        <f t="shared" si="8"/>
        <v>0</v>
      </c>
    </row>
    <row r="181" spans="1:12" ht="15.75" x14ac:dyDescent="0.25">
      <c r="A181">
        <v>522498</v>
      </c>
      <c r="B181" s="20">
        <v>625</v>
      </c>
      <c r="C181" s="21" t="s">
        <v>128</v>
      </c>
      <c r="D181" s="11"/>
      <c r="E181" s="36">
        <v>0</v>
      </c>
      <c r="F181" s="36">
        <v>0</v>
      </c>
      <c r="G181" s="36">
        <v>0</v>
      </c>
      <c r="H181" s="13">
        <f t="shared" si="7"/>
        <v>0</v>
      </c>
      <c r="I181" s="12"/>
      <c r="J181" s="14">
        <f t="shared" si="6"/>
        <v>0</v>
      </c>
      <c r="L181" s="34">
        <f t="shared" si="8"/>
        <v>0</v>
      </c>
    </row>
    <row r="182" spans="1:12" ht="15.75" x14ac:dyDescent="0.25">
      <c r="A182">
        <v>522497</v>
      </c>
      <c r="B182" s="20">
        <v>625</v>
      </c>
      <c r="C182" s="21" t="s">
        <v>129</v>
      </c>
      <c r="D182" s="11"/>
      <c r="E182" s="36">
        <v>0</v>
      </c>
      <c r="F182" s="36">
        <v>0</v>
      </c>
      <c r="G182" s="36">
        <v>0</v>
      </c>
      <c r="H182" s="13">
        <f t="shared" si="7"/>
        <v>0</v>
      </c>
      <c r="I182" s="12"/>
      <c r="J182" s="14">
        <f t="shared" si="6"/>
        <v>0</v>
      </c>
      <c r="L182" s="34">
        <f t="shared" si="8"/>
        <v>0</v>
      </c>
    </row>
    <row r="183" spans="1:12" ht="15.75" x14ac:dyDescent="0.25">
      <c r="A183">
        <v>523188</v>
      </c>
      <c r="B183" s="20"/>
      <c r="C183" s="21" t="s">
        <v>130</v>
      </c>
      <c r="D183" s="11"/>
      <c r="E183" s="36">
        <v>0</v>
      </c>
      <c r="F183" s="36">
        <v>0</v>
      </c>
      <c r="G183" s="36">
        <v>0</v>
      </c>
      <c r="H183" s="13">
        <f t="shared" si="7"/>
        <v>0</v>
      </c>
      <c r="I183" s="12"/>
      <c r="J183" s="14">
        <f t="shared" si="6"/>
        <v>0</v>
      </c>
      <c r="L183" s="34">
        <f t="shared" si="8"/>
        <v>0</v>
      </c>
    </row>
    <row r="184" spans="1:12" ht="16.5" thickBot="1" x14ac:dyDescent="0.3">
      <c r="B184" s="25"/>
      <c r="C184" s="26"/>
      <c r="D184" s="27"/>
      <c r="E184" s="28"/>
      <c r="F184" s="29"/>
      <c r="G184" s="28"/>
      <c r="H184" s="30"/>
      <c r="I184" s="28"/>
      <c r="J184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workbookViewId="0">
      <selection sqref="A1:XF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7.5703125" bestFit="1" customWidth="1"/>
    <col min="5" max="5" width="8.140625" bestFit="1" customWidth="1"/>
    <col min="6" max="6" width="8.140625" style="33" bestFit="1" customWidth="1"/>
    <col min="7" max="7" width="8.5703125" bestFit="1" customWidth="1"/>
    <col min="8" max="8" width="5.42578125" style="34" bestFit="1" customWidth="1"/>
    <col min="9" max="9" width="8" bestFit="1" customWidth="1"/>
    <col min="10" max="10" width="11.28515625" customWidth="1"/>
    <col min="11" max="11" width="8.7109375" customWidth="1"/>
    <col min="12" max="12" width="5.7109375" style="34" customWidth="1"/>
    <col min="13" max="13" width="5.7109375" customWidth="1"/>
  </cols>
  <sheetData>
    <row r="1" spans="1:12" ht="32.25" thickBot="1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35"/>
    </row>
    <row r="2" spans="1:12" ht="15.75" x14ac:dyDescent="0.25">
      <c r="B2" s="9">
        <v>3300</v>
      </c>
      <c r="C2" s="10" t="s">
        <v>11</v>
      </c>
      <c r="D2" s="11"/>
      <c r="E2" s="36"/>
      <c r="F2" s="36"/>
      <c r="G2" s="36"/>
      <c r="H2" s="13">
        <f>D2+E2+F2+G2</f>
        <v>0</v>
      </c>
      <c r="I2" s="12"/>
      <c r="J2" s="14">
        <f>H2-I2</f>
        <v>0</v>
      </c>
      <c r="L2" s="34">
        <f>K2-H2</f>
        <v>0</v>
      </c>
    </row>
    <row r="3" spans="1:12" ht="15.75" x14ac:dyDescent="0.25">
      <c r="B3" s="9">
        <v>3.5</v>
      </c>
      <c r="C3" s="10" t="s">
        <v>12</v>
      </c>
      <c r="D3" s="11"/>
      <c r="E3" s="36"/>
      <c r="F3" s="36"/>
      <c r="G3" s="36"/>
      <c r="H3" s="13">
        <f t="shared" ref="H3:H66" si="0">D3+E3+F3+G3</f>
        <v>0</v>
      </c>
      <c r="I3" s="12"/>
      <c r="J3" s="14">
        <f t="shared" ref="J3:J55" si="1">H3-I3</f>
        <v>0</v>
      </c>
      <c r="L3" s="34">
        <f t="shared" ref="L3:L66" si="2">K3-H3</f>
        <v>0</v>
      </c>
    </row>
    <row r="4" spans="1:12" ht="15.75" x14ac:dyDescent="0.25">
      <c r="A4">
        <v>511908</v>
      </c>
      <c r="B4" s="9">
        <v>3030</v>
      </c>
      <c r="C4" s="10" t="s">
        <v>12</v>
      </c>
      <c r="D4" s="11">
        <v>36</v>
      </c>
      <c r="E4" s="36">
        <v>5</v>
      </c>
      <c r="F4" s="36">
        <v>4</v>
      </c>
      <c r="G4" s="36">
        <v>1</v>
      </c>
      <c r="H4" s="13">
        <f t="shared" si="0"/>
        <v>46</v>
      </c>
      <c r="I4" s="12"/>
      <c r="J4" s="14">
        <f t="shared" si="1"/>
        <v>46</v>
      </c>
      <c r="K4">
        <v>46</v>
      </c>
      <c r="L4" s="34">
        <f t="shared" si="2"/>
        <v>0</v>
      </c>
    </row>
    <row r="5" spans="1:12" ht="15.75" x14ac:dyDescent="0.25">
      <c r="A5">
        <v>509671</v>
      </c>
      <c r="B5" s="9">
        <v>3030</v>
      </c>
      <c r="C5" s="10" t="s">
        <v>13</v>
      </c>
      <c r="D5" s="11">
        <v>25</v>
      </c>
      <c r="E5" s="36">
        <v>2</v>
      </c>
      <c r="F5" s="36">
        <v>6</v>
      </c>
      <c r="G5" s="36">
        <v>3</v>
      </c>
      <c r="H5" s="13">
        <f t="shared" si="0"/>
        <v>36</v>
      </c>
      <c r="I5" s="12"/>
      <c r="J5" s="14">
        <f t="shared" si="1"/>
        <v>36</v>
      </c>
      <c r="K5">
        <v>36</v>
      </c>
      <c r="L5" s="34">
        <f t="shared" si="2"/>
        <v>0</v>
      </c>
    </row>
    <row r="6" spans="1:12" ht="15.75" x14ac:dyDescent="0.25">
      <c r="A6">
        <v>500179</v>
      </c>
      <c r="B6" s="9">
        <v>3030</v>
      </c>
      <c r="C6" s="10" t="s">
        <v>11</v>
      </c>
      <c r="D6" s="11">
        <v>87</v>
      </c>
      <c r="E6" s="36">
        <v>18</v>
      </c>
      <c r="F6" s="36">
        <v>34</v>
      </c>
      <c r="G6" s="36">
        <v>22</v>
      </c>
      <c r="H6" s="13">
        <f t="shared" si="0"/>
        <v>161</v>
      </c>
      <c r="I6" s="12"/>
      <c r="J6" s="14">
        <f t="shared" si="1"/>
        <v>161</v>
      </c>
      <c r="K6">
        <v>161</v>
      </c>
      <c r="L6" s="34">
        <f t="shared" si="2"/>
        <v>0</v>
      </c>
    </row>
    <row r="7" spans="1:12" ht="15.75" x14ac:dyDescent="0.25">
      <c r="A7">
        <v>501109</v>
      </c>
      <c r="B7" s="9">
        <v>3030</v>
      </c>
      <c r="C7" s="10" t="s">
        <v>14</v>
      </c>
      <c r="D7" s="11">
        <v>13</v>
      </c>
      <c r="E7" s="36"/>
      <c r="F7" s="36">
        <v>6</v>
      </c>
      <c r="G7" s="36">
        <v>5</v>
      </c>
      <c r="H7" s="13">
        <f t="shared" si="0"/>
        <v>24</v>
      </c>
      <c r="I7" s="12"/>
      <c r="J7" s="14">
        <f t="shared" si="1"/>
        <v>24</v>
      </c>
      <c r="K7">
        <v>24</v>
      </c>
      <c r="L7" s="34">
        <f t="shared" si="2"/>
        <v>0</v>
      </c>
    </row>
    <row r="8" spans="1:12" ht="15.75" x14ac:dyDescent="0.25">
      <c r="A8">
        <v>501244</v>
      </c>
      <c r="B8" s="9">
        <v>3030</v>
      </c>
      <c r="C8" s="10" t="s">
        <v>15</v>
      </c>
      <c r="D8" s="11"/>
      <c r="E8" s="36"/>
      <c r="F8" s="36"/>
      <c r="G8" s="36"/>
      <c r="H8" s="13">
        <f t="shared" si="0"/>
        <v>0</v>
      </c>
      <c r="I8" s="12"/>
      <c r="J8" s="14">
        <f t="shared" si="1"/>
        <v>0</v>
      </c>
      <c r="L8" s="34">
        <f t="shared" si="2"/>
        <v>0</v>
      </c>
    </row>
    <row r="9" spans="1:12" ht="15.75" x14ac:dyDescent="0.25">
      <c r="A9">
        <v>501456</v>
      </c>
      <c r="B9" s="9">
        <v>3030</v>
      </c>
      <c r="C9" s="10" t="s">
        <v>16</v>
      </c>
      <c r="D9" s="11"/>
      <c r="E9" s="36"/>
      <c r="F9" s="36"/>
      <c r="G9" s="36"/>
      <c r="H9" s="13">
        <f t="shared" si="0"/>
        <v>0</v>
      </c>
      <c r="I9" s="12"/>
      <c r="J9" s="14">
        <f t="shared" si="1"/>
        <v>0</v>
      </c>
      <c r="L9" s="34">
        <f t="shared" si="2"/>
        <v>0</v>
      </c>
    </row>
    <row r="10" spans="1:12" ht="15.75" x14ac:dyDescent="0.25">
      <c r="A10">
        <v>501540</v>
      </c>
      <c r="B10" s="9">
        <v>3030</v>
      </c>
      <c r="C10" s="10" t="s">
        <v>17</v>
      </c>
      <c r="D10" s="11"/>
      <c r="E10" s="36"/>
      <c r="F10" s="36"/>
      <c r="G10" s="36"/>
      <c r="H10" s="13">
        <f t="shared" si="0"/>
        <v>0</v>
      </c>
      <c r="I10" s="12"/>
      <c r="J10" s="14">
        <f t="shared" si="1"/>
        <v>0</v>
      </c>
      <c r="L10" s="34">
        <f t="shared" si="2"/>
        <v>0</v>
      </c>
    </row>
    <row r="11" spans="1:12" ht="15.75" x14ac:dyDescent="0.25">
      <c r="B11" s="9">
        <v>3030</v>
      </c>
      <c r="C11" s="10" t="s">
        <v>18</v>
      </c>
      <c r="D11" s="11"/>
      <c r="E11" s="36"/>
      <c r="F11" s="36"/>
      <c r="G11" s="36"/>
      <c r="H11" s="13">
        <f t="shared" si="0"/>
        <v>0</v>
      </c>
      <c r="I11" s="12"/>
      <c r="J11" s="14">
        <f t="shared" si="1"/>
        <v>0</v>
      </c>
      <c r="L11" s="34">
        <f t="shared" si="2"/>
        <v>0</v>
      </c>
    </row>
    <row r="12" spans="1:12" ht="15.75" x14ac:dyDescent="0.25">
      <c r="B12" s="9">
        <v>2250</v>
      </c>
      <c r="C12" s="10" t="s">
        <v>11</v>
      </c>
      <c r="D12" s="11"/>
      <c r="E12" s="36"/>
      <c r="F12" s="36"/>
      <c r="G12" s="36"/>
      <c r="H12" s="13">
        <f t="shared" si="0"/>
        <v>0</v>
      </c>
      <c r="I12" s="12"/>
      <c r="J12" s="14">
        <f t="shared" si="1"/>
        <v>0</v>
      </c>
      <c r="L12" s="34">
        <f t="shared" si="2"/>
        <v>0</v>
      </c>
    </row>
    <row r="13" spans="1:12" ht="15.75" x14ac:dyDescent="0.25">
      <c r="B13" s="9">
        <v>2250</v>
      </c>
      <c r="C13" s="10" t="s">
        <v>19</v>
      </c>
      <c r="D13" s="11"/>
      <c r="E13" s="36"/>
      <c r="F13" s="36"/>
      <c r="G13" s="36"/>
      <c r="H13" s="13">
        <f t="shared" si="0"/>
        <v>0</v>
      </c>
      <c r="I13" s="12"/>
      <c r="J13" s="14">
        <f t="shared" si="1"/>
        <v>0</v>
      </c>
      <c r="L13" s="34">
        <f t="shared" si="2"/>
        <v>0</v>
      </c>
    </row>
    <row r="14" spans="1:12" ht="15.75" x14ac:dyDescent="0.25">
      <c r="B14" s="9">
        <v>1800</v>
      </c>
      <c r="C14" s="10" t="s">
        <v>20</v>
      </c>
      <c r="D14" s="11"/>
      <c r="E14" s="36"/>
      <c r="F14" s="36"/>
      <c r="G14" s="36"/>
      <c r="H14" s="13">
        <f t="shared" si="0"/>
        <v>0</v>
      </c>
      <c r="I14" s="12"/>
      <c r="J14" s="14">
        <f t="shared" si="1"/>
        <v>0</v>
      </c>
      <c r="L14" s="34">
        <f t="shared" si="2"/>
        <v>0</v>
      </c>
    </row>
    <row r="15" spans="1:12" ht="15.75" x14ac:dyDescent="0.25">
      <c r="B15" s="9">
        <v>1800</v>
      </c>
      <c r="C15" s="10" t="s">
        <v>21</v>
      </c>
      <c r="D15" s="11"/>
      <c r="E15" s="36"/>
      <c r="F15" s="36"/>
      <c r="G15" s="36"/>
      <c r="H15" s="13">
        <f t="shared" si="0"/>
        <v>0</v>
      </c>
      <c r="I15" s="12"/>
      <c r="J15" s="14">
        <f t="shared" si="1"/>
        <v>0</v>
      </c>
      <c r="L15" s="34">
        <f t="shared" si="2"/>
        <v>0</v>
      </c>
    </row>
    <row r="16" spans="1:12" ht="15.75" x14ac:dyDescent="0.25">
      <c r="A16">
        <v>500390</v>
      </c>
      <c r="B16" s="9">
        <v>1.3</v>
      </c>
      <c r="C16" s="10" t="s">
        <v>22</v>
      </c>
      <c r="D16" s="11">
        <v>78</v>
      </c>
      <c r="E16" s="36">
        <v>6</v>
      </c>
      <c r="F16" s="36"/>
      <c r="G16" s="36">
        <v>9</v>
      </c>
      <c r="H16" s="13">
        <f t="shared" si="0"/>
        <v>93</v>
      </c>
      <c r="I16" s="12"/>
      <c r="J16" s="14">
        <f t="shared" si="1"/>
        <v>93</v>
      </c>
      <c r="K16">
        <v>93</v>
      </c>
      <c r="L16" s="34">
        <f t="shared" si="2"/>
        <v>0</v>
      </c>
    </row>
    <row r="17" spans="1:12" ht="15.75" x14ac:dyDescent="0.25">
      <c r="B17" s="9">
        <v>1.3</v>
      </c>
      <c r="C17" s="10" t="s">
        <v>23</v>
      </c>
      <c r="D17" s="11"/>
      <c r="E17" s="36"/>
      <c r="F17" s="36"/>
      <c r="G17" s="36"/>
      <c r="H17" s="13">
        <f t="shared" si="0"/>
        <v>0</v>
      </c>
      <c r="I17" s="12"/>
      <c r="J17" s="14">
        <f t="shared" si="1"/>
        <v>0</v>
      </c>
      <c r="L17" s="34">
        <f t="shared" si="2"/>
        <v>0</v>
      </c>
    </row>
    <row r="18" spans="1:12" ht="15.75" x14ac:dyDescent="0.25">
      <c r="B18" s="9">
        <v>1.3</v>
      </c>
      <c r="C18" s="10" t="s">
        <v>24</v>
      </c>
      <c r="D18" s="11"/>
      <c r="E18" s="36"/>
      <c r="F18" s="36"/>
      <c r="G18" s="36"/>
      <c r="H18" s="13">
        <f t="shared" si="0"/>
        <v>0</v>
      </c>
      <c r="I18" s="12"/>
      <c r="J18" s="14">
        <f t="shared" si="1"/>
        <v>0</v>
      </c>
      <c r="L18" s="34">
        <f t="shared" si="2"/>
        <v>0</v>
      </c>
    </row>
    <row r="19" spans="1:12" ht="15.75" x14ac:dyDescent="0.25">
      <c r="A19">
        <v>511927</v>
      </c>
      <c r="B19" s="9">
        <v>1.3</v>
      </c>
      <c r="C19" s="10" t="s">
        <v>25</v>
      </c>
      <c r="D19" s="11">
        <v>44</v>
      </c>
      <c r="E19" s="36">
        <v>3</v>
      </c>
      <c r="F19" s="36"/>
      <c r="G19" s="36">
        <v>1</v>
      </c>
      <c r="H19" s="13">
        <f t="shared" si="0"/>
        <v>48</v>
      </c>
      <c r="I19" s="12"/>
      <c r="J19" s="14">
        <f t="shared" si="1"/>
        <v>48</v>
      </c>
      <c r="K19">
        <v>48</v>
      </c>
      <c r="L19" s="34">
        <f t="shared" si="2"/>
        <v>0</v>
      </c>
    </row>
    <row r="20" spans="1:12" ht="15.75" x14ac:dyDescent="0.25">
      <c r="A20">
        <v>509919</v>
      </c>
      <c r="B20" s="9">
        <v>1.3</v>
      </c>
      <c r="C20" s="10" t="s">
        <v>26</v>
      </c>
      <c r="D20" s="11"/>
      <c r="E20" s="36"/>
      <c r="F20" s="36"/>
      <c r="G20" s="36"/>
      <c r="H20" s="13">
        <f t="shared" si="0"/>
        <v>0</v>
      </c>
      <c r="I20" s="12"/>
      <c r="J20" s="14">
        <f t="shared" si="1"/>
        <v>0</v>
      </c>
      <c r="L20" s="34">
        <f t="shared" si="2"/>
        <v>0</v>
      </c>
    </row>
    <row r="21" spans="1:12" ht="15.75" x14ac:dyDescent="0.25">
      <c r="B21" s="9">
        <v>1300</v>
      </c>
      <c r="C21" s="10" t="s">
        <v>27</v>
      </c>
      <c r="D21" s="11"/>
      <c r="E21" s="36"/>
      <c r="F21" s="36"/>
      <c r="G21" s="36"/>
      <c r="H21" s="13">
        <f t="shared" si="0"/>
        <v>0</v>
      </c>
      <c r="I21" s="12"/>
      <c r="J21" s="14">
        <f t="shared" si="1"/>
        <v>0</v>
      </c>
      <c r="L21" s="34">
        <f t="shared" si="2"/>
        <v>0</v>
      </c>
    </row>
    <row r="22" spans="1:12" ht="15.75" x14ac:dyDescent="0.25">
      <c r="A22">
        <v>500094</v>
      </c>
      <c r="B22" s="9">
        <v>1000</v>
      </c>
      <c r="C22" s="10" t="s">
        <v>11</v>
      </c>
      <c r="D22" s="11"/>
      <c r="E22" s="36"/>
      <c r="F22" s="36"/>
      <c r="G22" s="36"/>
      <c r="H22" s="13">
        <f t="shared" si="0"/>
        <v>0</v>
      </c>
      <c r="I22" s="12"/>
      <c r="J22" s="14">
        <f t="shared" si="1"/>
        <v>0</v>
      </c>
      <c r="L22" s="34">
        <f t="shared" si="2"/>
        <v>0</v>
      </c>
    </row>
    <row r="23" spans="1:12" ht="15.75" x14ac:dyDescent="0.25">
      <c r="A23">
        <v>599038</v>
      </c>
      <c r="B23" s="9">
        <v>625</v>
      </c>
      <c r="C23" s="10" t="s">
        <v>28</v>
      </c>
      <c r="D23" s="11"/>
      <c r="E23" s="36"/>
      <c r="F23" s="36">
        <v>2</v>
      </c>
      <c r="G23" s="36"/>
      <c r="H23" s="13">
        <f t="shared" si="0"/>
        <v>2</v>
      </c>
      <c r="I23" s="12"/>
      <c r="J23" s="14">
        <f t="shared" si="1"/>
        <v>2</v>
      </c>
      <c r="K23">
        <v>2</v>
      </c>
      <c r="L23" s="34">
        <f t="shared" si="2"/>
        <v>0</v>
      </c>
    </row>
    <row r="24" spans="1:12" ht="15.75" x14ac:dyDescent="0.25">
      <c r="A24">
        <v>500303</v>
      </c>
      <c r="B24" s="9">
        <v>625</v>
      </c>
      <c r="C24" s="10" t="s">
        <v>29</v>
      </c>
      <c r="D24" s="11">
        <v>79</v>
      </c>
      <c r="E24" s="36">
        <v>4</v>
      </c>
      <c r="F24" s="36">
        <v>4</v>
      </c>
      <c r="G24" s="36">
        <v>6</v>
      </c>
      <c r="H24" s="13">
        <f t="shared" si="0"/>
        <v>93</v>
      </c>
      <c r="I24" s="12"/>
      <c r="J24" s="14">
        <f t="shared" si="1"/>
        <v>93</v>
      </c>
      <c r="K24">
        <v>93</v>
      </c>
      <c r="L24" s="34">
        <f t="shared" si="2"/>
        <v>0</v>
      </c>
    </row>
    <row r="25" spans="1:12" ht="15.75" x14ac:dyDescent="0.25">
      <c r="A25">
        <v>599037</v>
      </c>
      <c r="B25" s="9">
        <v>625</v>
      </c>
      <c r="C25" s="10" t="s">
        <v>30</v>
      </c>
      <c r="D25" s="11"/>
      <c r="E25" s="36"/>
      <c r="F25" s="36"/>
      <c r="G25" s="36"/>
      <c r="H25" s="13">
        <f t="shared" si="0"/>
        <v>0</v>
      </c>
      <c r="I25" s="12"/>
      <c r="J25" s="14">
        <f t="shared" si="1"/>
        <v>0</v>
      </c>
      <c r="L25" s="34">
        <f t="shared" si="2"/>
        <v>0</v>
      </c>
    </row>
    <row r="26" spans="1:12" ht="15.75" x14ac:dyDescent="0.25">
      <c r="A26">
        <v>599036</v>
      </c>
      <c r="B26" s="9">
        <v>625</v>
      </c>
      <c r="C26" s="10" t="s">
        <v>31</v>
      </c>
      <c r="D26" s="11"/>
      <c r="E26" s="36"/>
      <c r="F26" s="36"/>
      <c r="G26" s="36"/>
      <c r="H26" s="13">
        <f t="shared" si="0"/>
        <v>0</v>
      </c>
      <c r="I26" s="12"/>
      <c r="J26" s="14">
        <f t="shared" si="1"/>
        <v>0</v>
      </c>
      <c r="L26" s="34">
        <f t="shared" si="2"/>
        <v>0</v>
      </c>
    </row>
    <row r="27" spans="1:12" ht="15.75" x14ac:dyDescent="0.25">
      <c r="A27">
        <v>599035</v>
      </c>
      <c r="B27" s="9">
        <v>625</v>
      </c>
      <c r="C27" s="10" t="s">
        <v>32</v>
      </c>
      <c r="D27" s="11">
        <v>1</v>
      </c>
      <c r="E27" s="36"/>
      <c r="F27" s="36"/>
      <c r="G27" s="36"/>
      <c r="H27" s="13">
        <f t="shared" si="0"/>
        <v>1</v>
      </c>
      <c r="I27" s="12"/>
      <c r="J27" s="14">
        <f t="shared" si="1"/>
        <v>1</v>
      </c>
      <c r="K27">
        <v>1</v>
      </c>
      <c r="L27" s="34">
        <f t="shared" si="2"/>
        <v>0</v>
      </c>
    </row>
    <row r="28" spans="1:12" ht="15.75" x14ac:dyDescent="0.25">
      <c r="B28" s="9">
        <v>625</v>
      </c>
      <c r="C28" s="10" t="s">
        <v>33</v>
      </c>
      <c r="D28" s="11"/>
      <c r="E28" s="36"/>
      <c r="F28" s="36"/>
      <c r="G28" s="36"/>
      <c r="H28" s="13">
        <f t="shared" si="0"/>
        <v>0</v>
      </c>
      <c r="I28" s="12"/>
      <c r="J28" s="14">
        <f t="shared" si="1"/>
        <v>0</v>
      </c>
      <c r="L28" s="34">
        <f t="shared" si="2"/>
        <v>0</v>
      </c>
    </row>
    <row r="29" spans="1:12" ht="15.75" x14ac:dyDescent="0.25">
      <c r="B29" s="9">
        <v>625</v>
      </c>
      <c r="C29" s="10" t="s">
        <v>27</v>
      </c>
      <c r="D29" s="11"/>
      <c r="E29" s="36"/>
      <c r="F29" s="36"/>
      <c r="G29" s="36"/>
      <c r="H29" s="13">
        <f t="shared" si="0"/>
        <v>0</v>
      </c>
      <c r="I29" s="12"/>
      <c r="J29" s="14">
        <f t="shared" si="1"/>
        <v>0</v>
      </c>
      <c r="L29" s="34">
        <f t="shared" si="2"/>
        <v>0</v>
      </c>
    </row>
    <row r="30" spans="1:12" ht="15.75" x14ac:dyDescent="0.25">
      <c r="B30" s="15">
        <v>400</v>
      </c>
      <c r="C30" s="16" t="s">
        <v>11</v>
      </c>
      <c r="D30" s="11"/>
      <c r="E30" s="36"/>
      <c r="F30" s="36"/>
      <c r="G30" s="36"/>
      <c r="H30" s="13">
        <f t="shared" si="0"/>
        <v>0</v>
      </c>
      <c r="I30" s="12"/>
      <c r="J30" s="14">
        <f t="shared" si="1"/>
        <v>0</v>
      </c>
      <c r="L30" s="34">
        <f t="shared" si="2"/>
        <v>0</v>
      </c>
    </row>
    <row r="31" spans="1:12" ht="15.75" x14ac:dyDescent="0.25">
      <c r="B31" s="9">
        <v>400</v>
      </c>
      <c r="C31" s="10" t="s">
        <v>14</v>
      </c>
      <c r="D31" s="11"/>
      <c r="E31" s="36"/>
      <c r="F31" s="36"/>
      <c r="G31" s="36"/>
      <c r="H31" s="13">
        <f t="shared" si="0"/>
        <v>0</v>
      </c>
      <c r="I31" s="12"/>
      <c r="J31" s="14">
        <f t="shared" si="1"/>
        <v>0</v>
      </c>
      <c r="L31" s="34">
        <f t="shared" si="2"/>
        <v>0</v>
      </c>
    </row>
    <row r="32" spans="1:12" ht="15.75" x14ac:dyDescent="0.25">
      <c r="B32" s="9">
        <v>400</v>
      </c>
      <c r="C32" s="10" t="s">
        <v>16</v>
      </c>
      <c r="D32" s="11"/>
      <c r="E32" s="36"/>
      <c r="F32" s="36"/>
      <c r="G32" s="36"/>
      <c r="H32" s="13">
        <f t="shared" si="0"/>
        <v>0</v>
      </c>
      <c r="I32" s="12"/>
      <c r="J32" s="14">
        <f t="shared" si="1"/>
        <v>0</v>
      </c>
      <c r="L32" s="34">
        <f t="shared" si="2"/>
        <v>0</v>
      </c>
    </row>
    <row r="33" spans="1:12" ht="15.75" x14ac:dyDescent="0.25">
      <c r="A33">
        <v>522495</v>
      </c>
      <c r="B33" s="9">
        <v>360</v>
      </c>
      <c r="C33" s="10" t="s">
        <v>34</v>
      </c>
      <c r="D33" s="11"/>
      <c r="E33" s="36"/>
      <c r="F33" s="36"/>
      <c r="G33" s="36"/>
      <c r="H33" s="13">
        <f t="shared" si="0"/>
        <v>0</v>
      </c>
      <c r="I33" s="12"/>
      <c r="J33" s="14">
        <f t="shared" si="1"/>
        <v>0</v>
      </c>
      <c r="L33" s="34">
        <f t="shared" si="2"/>
        <v>0</v>
      </c>
    </row>
    <row r="34" spans="1:12" ht="15.75" x14ac:dyDescent="0.25">
      <c r="A34">
        <v>501504</v>
      </c>
      <c r="B34" s="9">
        <v>360</v>
      </c>
      <c r="C34" s="10" t="s">
        <v>35</v>
      </c>
      <c r="D34" s="11"/>
      <c r="E34" s="36">
        <v>8</v>
      </c>
      <c r="F34" s="36">
        <v>9</v>
      </c>
      <c r="G34" s="36"/>
      <c r="H34" s="13">
        <f t="shared" si="0"/>
        <v>17</v>
      </c>
      <c r="I34" s="12"/>
      <c r="J34" s="14">
        <f t="shared" si="1"/>
        <v>17</v>
      </c>
      <c r="K34">
        <v>17</v>
      </c>
      <c r="L34" s="34">
        <f t="shared" si="2"/>
        <v>0</v>
      </c>
    </row>
    <row r="35" spans="1:12" ht="15.75" x14ac:dyDescent="0.25">
      <c r="A35">
        <v>500713</v>
      </c>
      <c r="B35" s="9">
        <v>360</v>
      </c>
      <c r="C35" s="10" t="s">
        <v>36</v>
      </c>
      <c r="D35" s="11"/>
      <c r="E35" s="36"/>
      <c r="F35" s="36"/>
      <c r="G35" s="36"/>
      <c r="H35" s="13">
        <f t="shared" si="0"/>
        <v>0</v>
      </c>
      <c r="I35" s="12"/>
      <c r="J35" s="14">
        <f t="shared" si="1"/>
        <v>0</v>
      </c>
      <c r="L35" s="34">
        <f t="shared" si="2"/>
        <v>0</v>
      </c>
    </row>
    <row r="36" spans="1:12" ht="15.75" x14ac:dyDescent="0.25">
      <c r="A36">
        <v>523271</v>
      </c>
      <c r="B36" s="9">
        <v>400</v>
      </c>
      <c r="C36" s="17" t="s">
        <v>20</v>
      </c>
      <c r="D36" s="11">
        <v>1</v>
      </c>
      <c r="E36" s="36"/>
      <c r="F36" s="36"/>
      <c r="G36" s="36"/>
      <c r="H36" s="13">
        <f t="shared" si="0"/>
        <v>1</v>
      </c>
      <c r="I36" s="12"/>
      <c r="J36" s="14">
        <f t="shared" si="1"/>
        <v>1</v>
      </c>
      <c r="K36">
        <v>1</v>
      </c>
      <c r="L36" s="34">
        <f t="shared" si="2"/>
        <v>0</v>
      </c>
    </row>
    <row r="37" spans="1:12" ht="15.75" x14ac:dyDescent="0.25">
      <c r="A37">
        <v>521721</v>
      </c>
      <c r="B37" s="9">
        <v>400</v>
      </c>
      <c r="C37" s="17" t="s">
        <v>13</v>
      </c>
      <c r="D37" s="11"/>
      <c r="E37" s="36">
        <v>7</v>
      </c>
      <c r="F37" s="36">
        <v>6</v>
      </c>
      <c r="G37" s="36">
        <v>19</v>
      </c>
      <c r="H37" s="13">
        <f t="shared" si="0"/>
        <v>32</v>
      </c>
      <c r="I37" s="12"/>
      <c r="J37" s="14">
        <f t="shared" si="1"/>
        <v>32</v>
      </c>
      <c r="K37">
        <v>32</v>
      </c>
      <c r="L37" s="34">
        <f t="shared" si="2"/>
        <v>0</v>
      </c>
    </row>
    <row r="38" spans="1:12" ht="15.75" x14ac:dyDescent="0.25">
      <c r="B38" s="9">
        <v>360</v>
      </c>
      <c r="C38" s="10" t="s">
        <v>27</v>
      </c>
      <c r="D38" s="11"/>
      <c r="E38" s="36"/>
      <c r="F38" s="36"/>
      <c r="G38" s="36"/>
      <c r="H38" s="13">
        <f t="shared" si="0"/>
        <v>0</v>
      </c>
      <c r="I38" s="12"/>
      <c r="J38" s="14">
        <f t="shared" si="1"/>
        <v>0</v>
      </c>
      <c r="L38" s="34">
        <f t="shared" si="2"/>
        <v>0</v>
      </c>
    </row>
    <row r="39" spans="1:12" ht="15.75" x14ac:dyDescent="0.25">
      <c r="B39" s="9">
        <v>360</v>
      </c>
      <c r="C39" s="10" t="s">
        <v>37</v>
      </c>
      <c r="D39" s="11"/>
      <c r="E39" s="36"/>
      <c r="F39" s="36"/>
      <c r="G39" s="36"/>
      <c r="H39" s="13">
        <f t="shared" si="0"/>
        <v>0</v>
      </c>
      <c r="I39" s="12"/>
      <c r="J39" s="14">
        <f t="shared" si="1"/>
        <v>0</v>
      </c>
      <c r="L39" s="34">
        <f t="shared" si="2"/>
        <v>0</v>
      </c>
    </row>
    <row r="40" spans="1:12" ht="15.75" x14ac:dyDescent="0.25">
      <c r="B40" s="9">
        <v>360</v>
      </c>
      <c r="C40" s="10" t="s">
        <v>38</v>
      </c>
      <c r="D40" s="11"/>
      <c r="E40" s="36"/>
      <c r="F40" s="36"/>
      <c r="G40" s="36"/>
      <c r="H40" s="13">
        <f t="shared" si="0"/>
        <v>0</v>
      </c>
      <c r="I40" s="12"/>
      <c r="J40" s="14">
        <f t="shared" si="1"/>
        <v>0</v>
      </c>
      <c r="L40" s="34">
        <f t="shared" si="2"/>
        <v>0</v>
      </c>
    </row>
    <row r="41" spans="1:12" ht="15.75" x14ac:dyDescent="0.25">
      <c r="B41" s="9">
        <v>375</v>
      </c>
      <c r="C41" s="10" t="s">
        <v>39</v>
      </c>
      <c r="D41" s="11"/>
      <c r="E41" s="36"/>
      <c r="F41" s="36"/>
      <c r="G41" s="36"/>
      <c r="H41" s="13">
        <f t="shared" si="0"/>
        <v>0</v>
      </c>
      <c r="I41" s="12"/>
      <c r="J41" s="14">
        <f t="shared" si="1"/>
        <v>0</v>
      </c>
      <c r="L41" s="34">
        <f t="shared" si="2"/>
        <v>0</v>
      </c>
    </row>
    <row r="42" spans="1:12" ht="15.75" x14ac:dyDescent="0.25">
      <c r="A42">
        <v>598908</v>
      </c>
      <c r="B42" s="9">
        <v>355</v>
      </c>
      <c r="C42" s="10" t="s">
        <v>40</v>
      </c>
      <c r="D42" s="11"/>
      <c r="E42" s="36"/>
      <c r="F42" s="36"/>
      <c r="G42" s="36"/>
      <c r="H42" s="13">
        <f t="shared" si="0"/>
        <v>0</v>
      </c>
      <c r="I42" s="12"/>
      <c r="J42" s="14">
        <f t="shared" si="1"/>
        <v>0</v>
      </c>
      <c r="L42" s="34">
        <f t="shared" si="2"/>
        <v>0</v>
      </c>
    </row>
    <row r="43" spans="1:12" ht="15.75" x14ac:dyDescent="0.25">
      <c r="A43">
        <v>599149</v>
      </c>
      <c r="B43" s="9">
        <v>300</v>
      </c>
      <c r="C43" s="17" t="s">
        <v>41</v>
      </c>
      <c r="D43" s="11">
        <v>10</v>
      </c>
      <c r="E43" s="36">
        <v>4</v>
      </c>
      <c r="F43" s="36">
        <v>5</v>
      </c>
      <c r="G43" s="36">
        <v>3</v>
      </c>
      <c r="H43" s="13">
        <f t="shared" si="0"/>
        <v>22</v>
      </c>
      <c r="I43" s="12"/>
      <c r="J43" s="14">
        <f t="shared" si="1"/>
        <v>22</v>
      </c>
      <c r="K43">
        <v>22</v>
      </c>
      <c r="L43" s="34">
        <f t="shared" si="2"/>
        <v>0</v>
      </c>
    </row>
    <row r="44" spans="1:12" ht="15.75" x14ac:dyDescent="0.25">
      <c r="B44" s="9">
        <v>355</v>
      </c>
      <c r="C44" s="10" t="s">
        <v>42</v>
      </c>
      <c r="D44" s="11"/>
      <c r="E44" s="36"/>
      <c r="F44" s="36"/>
      <c r="G44" s="36"/>
      <c r="H44" s="13">
        <f t="shared" si="0"/>
        <v>0</v>
      </c>
      <c r="I44" s="12"/>
      <c r="J44" s="14">
        <f t="shared" si="1"/>
        <v>0</v>
      </c>
      <c r="L44" s="34">
        <f t="shared" si="2"/>
        <v>0</v>
      </c>
    </row>
    <row r="45" spans="1:12" ht="15.75" x14ac:dyDescent="0.25">
      <c r="B45" s="9">
        <v>355</v>
      </c>
      <c r="C45" s="10" t="s">
        <v>43</v>
      </c>
      <c r="D45" s="11"/>
      <c r="E45" s="36"/>
      <c r="F45" s="36"/>
      <c r="G45" s="36"/>
      <c r="H45" s="13">
        <f t="shared" si="0"/>
        <v>0</v>
      </c>
      <c r="I45" s="12"/>
      <c r="J45" s="14">
        <f t="shared" si="1"/>
        <v>0</v>
      </c>
      <c r="L45" s="34">
        <f t="shared" si="2"/>
        <v>0</v>
      </c>
    </row>
    <row r="46" spans="1:12" ht="15.75" x14ac:dyDescent="0.25">
      <c r="B46" s="9">
        <v>355</v>
      </c>
      <c r="C46" s="10" t="s">
        <v>44</v>
      </c>
      <c r="D46" s="11"/>
      <c r="E46" s="36"/>
      <c r="F46" s="36"/>
      <c r="G46" s="36"/>
      <c r="H46" s="13">
        <f t="shared" si="0"/>
        <v>0</v>
      </c>
      <c r="I46" s="12"/>
      <c r="J46" s="14">
        <f t="shared" si="1"/>
        <v>0</v>
      </c>
      <c r="L46" s="34">
        <f t="shared" si="2"/>
        <v>0</v>
      </c>
    </row>
    <row r="47" spans="1:12" ht="15.75" x14ac:dyDescent="0.25">
      <c r="B47" s="9">
        <v>355</v>
      </c>
      <c r="C47" s="10" t="s">
        <v>45</v>
      </c>
      <c r="D47" s="11"/>
      <c r="E47" s="36"/>
      <c r="F47" s="36"/>
      <c r="G47" s="36"/>
      <c r="H47" s="13">
        <f t="shared" si="0"/>
        <v>0</v>
      </c>
      <c r="I47" s="12"/>
      <c r="J47" s="14">
        <f t="shared" si="1"/>
        <v>0</v>
      </c>
      <c r="L47" s="34">
        <f t="shared" si="2"/>
        <v>0</v>
      </c>
    </row>
    <row r="48" spans="1:12" ht="15.75" x14ac:dyDescent="0.25">
      <c r="B48" s="9">
        <v>355</v>
      </c>
      <c r="C48" s="10" t="s">
        <v>46</v>
      </c>
      <c r="D48" s="11"/>
      <c r="E48" s="36"/>
      <c r="F48" s="36"/>
      <c r="G48" s="36"/>
      <c r="H48" s="13">
        <f t="shared" si="0"/>
        <v>0</v>
      </c>
      <c r="I48" s="12"/>
      <c r="J48" s="14">
        <f t="shared" si="1"/>
        <v>0</v>
      </c>
      <c r="L48" s="34">
        <f t="shared" si="2"/>
        <v>0</v>
      </c>
    </row>
    <row r="49" spans="1:12" ht="15.75" x14ac:dyDescent="0.25">
      <c r="B49" s="9">
        <v>625</v>
      </c>
      <c r="C49" s="10" t="s">
        <v>41</v>
      </c>
      <c r="D49" s="11"/>
      <c r="E49" s="36"/>
      <c r="F49" s="36"/>
      <c r="G49" s="36"/>
      <c r="H49" s="13">
        <f t="shared" si="0"/>
        <v>0</v>
      </c>
      <c r="I49" s="12"/>
      <c r="J49" s="14">
        <f t="shared" si="1"/>
        <v>0</v>
      </c>
      <c r="L49" s="34">
        <f t="shared" si="2"/>
        <v>0</v>
      </c>
    </row>
    <row r="50" spans="1:12" ht="15.75" x14ac:dyDescent="0.25">
      <c r="B50" s="9">
        <v>625</v>
      </c>
      <c r="C50" s="10" t="s">
        <v>47</v>
      </c>
      <c r="D50" s="11"/>
      <c r="E50" s="36"/>
      <c r="F50" s="36"/>
      <c r="G50" s="36"/>
      <c r="H50" s="13">
        <f t="shared" si="0"/>
        <v>0</v>
      </c>
      <c r="I50" s="12"/>
      <c r="J50" s="14">
        <f t="shared" si="1"/>
        <v>0</v>
      </c>
      <c r="L50" s="34">
        <f t="shared" si="2"/>
        <v>0</v>
      </c>
    </row>
    <row r="51" spans="1:12" ht="15.75" x14ac:dyDescent="0.25">
      <c r="A51">
        <v>517209</v>
      </c>
      <c r="B51" s="18">
        <v>360</v>
      </c>
      <c r="C51" s="10" t="s">
        <v>47</v>
      </c>
      <c r="D51" s="11">
        <v>36</v>
      </c>
      <c r="E51" s="36">
        <v>8</v>
      </c>
      <c r="F51" s="36">
        <v>2</v>
      </c>
      <c r="G51" s="36">
        <v>10</v>
      </c>
      <c r="H51" s="13">
        <f t="shared" si="0"/>
        <v>56</v>
      </c>
      <c r="I51" s="12"/>
      <c r="J51" s="14">
        <f t="shared" si="1"/>
        <v>56</v>
      </c>
      <c r="K51">
        <v>56</v>
      </c>
      <c r="L51" s="34">
        <f t="shared" si="2"/>
        <v>0</v>
      </c>
    </row>
    <row r="52" spans="1:12" ht="15.75" x14ac:dyDescent="0.25">
      <c r="B52" s="18">
        <v>625</v>
      </c>
      <c r="C52" s="10" t="s">
        <v>48</v>
      </c>
      <c r="D52" s="11"/>
      <c r="E52" s="36"/>
      <c r="F52" s="36"/>
      <c r="G52" s="36"/>
      <c r="H52" s="13">
        <f t="shared" si="0"/>
        <v>0</v>
      </c>
      <c r="I52" s="12"/>
      <c r="J52" s="14">
        <f t="shared" si="1"/>
        <v>0</v>
      </c>
      <c r="L52" s="34">
        <f t="shared" si="2"/>
        <v>0</v>
      </c>
    </row>
    <row r="53" spans="1:12" ht="15.75" x14ac:dyDescent="0.25">
      <c r="A53">
        <v>522919</v>
      </c>
      <c r="B53" s="19">
        <v>625</v>
      </c>
      <c r="C53" s="17" t="s">
        <v>49</v>
      </c>
      <c r="D53" s="11">
        <v>28</v>
      </c>
      <c r="E53" s="36">
        <v>6</v>
      </c>
      <c r="F53" s="36"/>
      <c r="G53" s="36">
        <v>3</v>
      </c>
      <c r="H53" s="13">
        <f t="shared" si="0"/>
        <v>37</v>
      </c>
      <c r="I53" s="12"/>
      <c r="J53" s="14">
        <f>H53-I53</f>
        <v>37</v>
      </c>
      <c r="K53">
        <v>37</v>
      </c>
      <c r="L53" s="34">
        <f t="shared" si="2"/>
        <v>0</v>
      </c>
    </row>
    <row r="54" spans="1:12" ht="15.75" x14ac:dyDescent="0.25">
      <c r="A54">
        <v>522918</v>
      </c>
      <c r="B54" s="18">
        <v>375</v>
      </c>
      <c r="C54" s="10" t="s">
        <v>48</v>
      </c>
      <c r="D54" s="11">
        <v>81</v>
      </c>
      <c r="E54" s="36">
        <v>2</v>
      </c>
      <c r="F54" s="36">
        <v>1</v>
      </c>
      <c r="G54" s="36"/>
      <c r="H54" s="13">
        <f t="shared" si="0"/>
        <v>84</v>
      </c>
      <c r="I54" s="12"/>
      <c r="J54" s="14">
        <f t="shared" si="1"/>
        <v>84</v>
      </c>
      <c r="K54">
        <v>84</v>
      </c>
      <c r="L54" s="34">
        <f t="shared" si="2"/>
        <v>0</v>
      </c>
    </row>
    <row r="55" spans="1:12" ht="15.75" x14ac:dyDescent="0.25">
      <c r="B55" s="20">
        <v>375</v>
      </c>
      <c r="C55" s="21" t="s">
        <v>50</v>
      </c>
      <c r="D55" s="11"/>
      <c r="E55" s="36"/>
      <c r="F55" s="36"/>
      <c r="G55" s="36"/>
      <c r="H55" s="13">
        <f t="shared" si="0"/>
        <v>0</v>
      </c>
      <c r="I55" s="12"/>
      <c r="J55" s="14">
        <f t="shared" si="1"/>
        <v>0</v>
      </c>
      <c r="L55" s="34">
        <f t="shared" si="2"/>
        <v>0</v>
      </c>
    </row>
    <row r="56" spans="1:12" ht="15.75" x14ac:dyDescent="0.25">
      <c r="A56">
        <v>522920</v>
      </c>
      <c r="B56" s="22">
        <v>1.3</v>
      </c>
      <c r="C56" s="23" t="s">
        <v>51</v>
      </c>
      <c r="D56" s="11"/>
      <c r="E56" s="36"/>
      <c r="F56" s="36"/>
      <c r="G56" s="36"/>
      <c r="H56" s="13">
        <f t="shared" si="0"/>
        <v>0</v>
      </c>
      <c r="I56" s="12"/>
      <c r="J56" s="14">
        <f>H56-I56</f>
        <v>0</v>
      </c>
      <c r="L56" s="34">
        <f t="shared" si="2"/>
        <v>0</v>
      </c>
    </row>
    <row r="57" spans="1:12" ht="15.75" x14ac:dyDescent="0.25">
      <c r="A57">
        <v>523533</v>
      </c>
      <c r="B57" s="22">
        <v>1000</v>
      </c>
      <c r="C57" s="23" t="s">
        <v>48</v>
      </c>
      <c r="D57" s="11">
        <v>13</v>
      </c>
      <c r="E57" s="36">
        <v>8</v>
      </c>
      <c r="F57" s="36">
        <v>1</v>
      </c>
      <c r="G57" s="36">
        <v>8</v>
      </c>
      <c r="H57" s="13">
        <f t="shared" si="0"/>
        <v>30</v>
      </c>
      <c r="I57" s="12"/>
      <c r="J57" s="14">
        <f>H57-I57</f>
        <v>30</v>
      </c>
      <c r="K57">
        <v>32</v>
      </c>
      <c r="L57" s="37">
        <f t="shared" si="2"/>
        <v>2</v>
      </c>
    </row>
    <row r="58" spans="1:12" ht="15.75" x14ac:dyDescent="0.25">
      <c r="B58" s="9">
        <v>3300</v>
      </c>
      <c r="C58" s="10" t="s">
        <v>48</v>
      </c>
      <c r="D58" s="11"/>
      <c r="E58" s="36"/>
      <c r="F58" s="36"/>
      <c r="G58" s="36"/>
      <c r="H58" s="13">
        <f t="shared" si="0"/>
        <v>0</v>
      </c>
      <c r="I58" s="12"/>
      <c r="J58" s="14">
        <f t="shared" ref="J58:J121" si="3">H58-I58</f>
        <v>0</v>
      </c>
      <c r="L58" s="34">
        <f t="shared" si="2"/>
        <v>0</v>
      </c>
    </row>
    <row r="59" spans="1:12" ht="15.75" x14ac:dyDescent="0.25">
      <c r="A59">
        <v>598820</v>
      </c>
      <c r="B59" s="18">
        <v>145</v>
      </c>
      <c r="C59" s="10" t="s">
        <v>52</v>
      </c>
      <c r="D59" s="11"/>
      <c r="E59" s="36"/>
      <c r="F59" s="36"/>
      <c r="G59" s="36"/>
      <c r="H59" s="13">
        <f t="shared" si="0"/>
        <v>0</v>
      </c>
      <c r="I59" s="12"/>
      <c r="J59" s="14">
        <f t="shared" si="3"/>
        <v>0</v>
      </c>
      <c r="L59" s="34">
        <f t="shared" si="2"/>
        <v>0</v>
      </c>
    </row>
    <row r="60" spans="1:12" ht="15.75" x14ac:dyDescent="0.25">
      <c r="A60">
        <v>598821</v>
      </c>
      <c r="B60" s="9">
        <v>145</v>
      </c>
      <c r="C60" s="10" t="s">
        <v>53</v>
      </c>
      <c r="D60" s="11">
        <v>128</v>
      </c>
      <c r="E60" s="36"/>
      <c r="F60" s="36">
        <v>17</v>
      </c>
      <c r="G60" s="36"/>
      <c r="H60" s="13">
        <f t="shared" si="0"/>
        <v>145</v>
      </c>
      <c r="I60" s="12"/>
      <c r="J60" s="14">
        <f t="shared" si="3"/>
        <v>145</v>
      </c>
      <c r="K60">
        <v>145</v>
      </c>
      <c r="L60" s="34">
        <f t="shared" si="2"/>
        <v>0</v>
      </c>
    </row>
    <row r="61" spans="1:12" ht="15.75" x14ac:dyDescent="0.25">
      <c r="B61" s="9">
        <v>145</v>
      </c>
      <c r="C61" s="10" t="s">
        <v>54</v>
      </c>
      <c r="D61" s="11"/>
      <c r="E61" s="36"/>
      <c r="F61" s="36"/>
      <c r="G61" s="36"/>
      <c r="H61" s="13">
        <f t="shared" si="0"/>
        <v>0</v>
      </c>
      <c r="I61" s="12"/>
      <c r="J61" s="14">
        <f t="shared" si="3"/>
        <v>0</v>
      </c>
      <c r="L61" s="34">
        <f t="shared" si="2"/>
        <v>0</v>
      </c>
    </row>
    <row r="62" spans="1:12" ht="15.75" x14ac:dyDescent="0.25">
      <c r="B62" s="9">
        <v>145</v>
      </c>
      <c r="C62" s="10" t="s">
        <v>55</v>
      </c>
      <c r="D62" s="11"/>
      <c r="E62" s="36"/>
      <c r="F62" s="36"/>
      <c r="G62" s="36"/>
      <c r="H62" s="13">
        <f t="shared" si="0"/>
        <v>0</v>
      </c>
      <c r="I62" s="12"/>
      <c r="J62" s="14">
        <f t="shared" si="3"/>
        <v>0</v>
      </c>
      <c r="L62" s="34">
        <f t="shared" si="2"/>
        <v>0</v>
      </c>
    </row>
    <row r="63" spans="1:12" ht="15.75" x14ac:dyDescent="0.25">
      <c r="B63" s="9">
        <v>145</v>
      </c>
      <c r="C63" s="10" t="s">
        <v>56</v>
      </c>
      <c r="D63" s="11"/>
      <c r="E63" s="36"/>
      <c r="F63" s="36"/>
      <c r="G63" s="36"/>
      <c r="H63" s="13">
        <f t="shared" si="0"/>
        <v>0</v>
      </c>
      <c r="I63" s="12"/>
      <c r="J63" s="14">
        <f t="shared" si="3"/>
        <v>0</v>
      </c>
      <c r="L63" s="34">
        <f t="shared" si="2"/>
        <v>0</v>
      </c>
    </row>
    <row r="64" spans="1:12" ht="15.75" x14ac:dyDescent="0.25">
      <c r="B64" s="9">
        <v>145</v>
      </c>
      <c r="C64" s="10" t="s">
        <v>57</v>
      </c>
      <c r="D64" s="11"/>
      <c r="E64" s="36"/>
      <c r="F64" s="36"/>
      <c r="G64" s="36"/>
      <c r="H64" s="13">
        <f t="shared" si="0"/>
        <v>0</v>
      </c>
      <c r="I64" s="12"/>
      <c r="J64" s="14">
        <f t="shared" si="3"/>
        <v>0</v>
      </c>
      <c r="L64" s="34">
        <f t="shared" si="2"/>
        <v>0</v>
      </c>
    </row>
    <row r="65" spans="1:12" ht="15.75" x14ac:dyDescent="0.25">
      <c r="B65" s="9">
        <v>145</v>
      </c>
      <c r="C65" s="10" t="s">
        <v>58</v>
      </c>
      <c r="D65" s="11"/>
      <c r="E65" s="36"/>
      <c r="F65" s="36"/>
      <c r="G65" s="36"/>
      <c r="H65" s="13">
        <f t="shared" si="0"/>
        <v>0</v>
      </c>
      <c r="I65" s="12"/>
      <c r="J65" s="14">
        <f t="shared" si="3"/>
        <v>0</v>
      </c>
      <c r="L65" s="34">
        <f t="shared" si="2"/>
        <v>0</v>
      </c>
    </row>
    <row r="66" spans="1:12" ht="15.75" x14ac:dyDescent="0.25">
      <c r="B66" s="9">
        <v>145</v>
      </c>
      <c r="C66" s="10" t="s">
        <v>59</v>
      </c>
      <c r="D66" s="11"/>
      <c r="E66" s="36"/>
      <c r="F66" s="36"/>
      <c r="G66" s="36"/>
      <c r="H66" s="13">
        <f t="shared" si="0"/>
        <v>0</v>
      </c>
      <c r="I66" s="12"/>
      <c r="J66" s="14">
        <f t="shared" si="3"/>
        <v>0</v>
      </c>
      <c r="L66" s="34">
        <f t="shared" si="2"/>
        <v>0</v>
      </c>
    </row>
    <row r="67" spans="1:12" ht="15.75" x14ac:dyDescent="0.25">
      <c r="B67" s="9"/>
      <c r="C67" s="10" t="s">
        <v>60</v>
      </c>
      <c r="D67" s="11"/>
      <c r="E67" s="36"/>
      <c r="F67" s="36"/>
      <c r="G67" s="36"/>
      <c r="H67" s="13">
        <f t="shared" ref="H67:H130" si="4">D67+E67+F67+G67</f>
        <v>0</v>
      </c>
      <c r="I67" s="12"/>
      <c r="J67" s="14">
        <f t="shared" si="3"/>
        <v>0</v>
      </c>
      <c r="L67" s="34">
        <f t="shared" ref="L67:L130" si="5">K67-H67</f>
        <v>0</v>
      </c>
    </row>
    <row r="68" spans="1:12" ht="15.75" x14ac:dyDescent="0.25">
      <c r="A68">
        <v>598822</v>
      </c>
      <c r="B68" s="9">
        <v>250</v>
      </c>
      <c r="C68" s="10" t="s">
        <v>61</v>
      </c>
      <c r="D68" s="11"/>
      <c r="E68" s="36"/>
      <c r="F68" s="36"/>
      <c r="G68" s="36"/>
      <c r="H68" s="13">
        <f t="shared" si="4"/>
        <v>0</v>
      </c>
      <c r="I68" s="12"/>
      <c r="J68" s="14">
        <f t="shared" si="3"/>
        <v>0</v>
      </c>
      <c r="L68" s="34">
        <f t="shared" si="5"/>
        <v>0</v>
      </c>
    </row>
    <row r="69" spans="1:12" ht="15.75" x14ac:dyDescent="0.25">
      <c r="A69">
        <v>598823</v>
      </c>
      <c r="B69" s="9">
        <v>250</v>
      </c>
      <c r="C69" s="10" t="s">
        <v>62</v>
      </c>
      <c r="D69" s="11"/>
      <c r="E69" s="36"/>
      <c r="F69" s="36"/>
      <c r="G69" s="36"/>
      <c r="H69" s="13">
        <f t="shared" si="4"/>
        <v>0</v>
      </c>
      <c r="I69" s="12"/>
      <c r="J69" s="14">
        <f t="shared" si="3"/>
        <v>0</v>
      </c>
      <c r="L69" s="34">
        <f t="shared" si="5"/>
        <v>0</v>
      </c>
    </row>
    <row r="70" spans="1:12" ht="15.75" x14ac:dyDescent="0.25">
      <c r="B70" s="9">
        <v>250</v>
      </c>
      <c r="C70" s="10" t="s">
        <v>54</v>
      </c>
      <c r="D70" s="11"/>
      <c r="E70" s="36"/>
      <c r="F70" s="36"/>
      <c r="G70" s="36"/>
      <c r="H70" s="13">
        <f t="shared" si="4"/>
        <v>0</v>
      </c>
      <c r="I70" s="12"/>
      <c r="J70" s="14">
        <f t="shared" si="3"/>
        <v>0</v>
      </c>
      <c r="L70" s="34">
        <f t="shared" si="5"/>
        <v>0</v>
      </c>
    </row>
    <row r="71" spans="1:12" ht="15.75" x14ac:dyDescent="0.25">
      <c r="B71" s="9">
        <v>250</v>
      </c>
      <c r="C71" s="10" t="s">
        <v>55</v>
      </c>
      <c r="D71" s="11"/>
      <c r="E71" s="36"/>
      <c r="F71" s="36"/>
      <c r="G71" s="36"/>
      <c r="H71" s="13">
        <f t="shared" si="4"/>
        <v>0</v>
      </c>
      <c r="I71" s="12"/>
      <c r="J71" s="14">
        <f t="shared" si="3"/>
        <v>0</v>
      </c>
      <c r="L71" s="34">
        <f t="shared" si="5"/>
        <v>0</v>
      </c>
    </row>
    <row r="72" spans="1:12" ht="15.75" x14ac:dyDescent="0.25">
      <c r="B72" s="9">
        <v>250</v>
      </c>
      <c r="C72" s="10" t="s">
        <v>56</v>
      </c>
      <c r="D72" s="11"/>
      <c r="E72" s="36"/>
      <c r="F72" s="36"/>
      <c r="G72" s="36"/>
      <c r="H72" s="13">
        <f t="shared" si="4"/>
        <v>0</v>
      </c>
      <c r="I72" s="12"/>
      <c r="J72" s="14">
        <f t="shared" si="3"/>
        <v>0</v>
      </c>
      <c r="L72" s="34">
        <f t="shared" si="5"/>
        <v>0</v>
      </c>
    </row>
    <row r="73" spans="1:12" ht="15.75" x14ac:dyDescent="0.25">
      <c r="B73" s="9">
        <v>1000</v>
      </c>
      <c r="C73" s="10" t="s">
        <v>52</v>
      </c>
      <c r="D73" s="11"/>
      <c r="E73" s="36"/>
      <c r="F73" s="36"/>
      <c r="G73" s="36"/>
      <c r="H73" s="13">
        <f t="shared" si="4"/>
        <v>0</v>
      </c>
      <c r="I73" s="12"/>
      <c r="J73" s="14">
        <f t="shared" si="3"/>
        <v>0</v>
      </c>
      <c r="L73" s="34">
        <f t="shared" si="5"/>
        <v>0</v>
      </c>
    </row>
    <row r="74" spans="1:12" ht="15.75" x14ac:dyDescent="0.25">
      <c r="B74" s="9">
        <v>1000</v>
      </c>
      <c r="C74" s="10" t="s">
        <v>53</v>
      </c>
      <c r="D74" s="11"/>
      <c r="E74" s="36"/>
      <c r="F74" s="36"/>
      <c r="G74" s="36"/>
      <c r="H74" s="13">
        <f t="shared" si="4"/>
        <v>0</v>
      </c>
      <c r="I74" s="12"/>
      <c r="J74" s="14">
        <f t="shared" si="3"/>
        <v>0</v>
      </c>
      <c r="L74" s="34">
        <f t="shared" si="5"/>
        <v>0</v>
      </c>
    </row>
    <row r="75" spans="1:12" ht="15.75" x14ac:dyDescent="0.25">
      <c r="B75" s="9">
        <v>1000</v>
      </c>
      <c r="C75" s="10" t="s">
        <v>54</v>
      </c>
      <c r="D75" s="11"/>
      <c r="E75" s="36"/>
      <c r="F75" s="36"/>
      <c r="G75" s="36"/>
      <c r="H75" s="13">
        <f t="shared" si="4"/>
        <v>0</v>
      </c>
      <c r="I75" s="12"/>
      <c r="J75" s="14">
        <f t="shared" si="3"/>
        <v>0</v>
      </c>
      <c r="L75" s="34">
        <f t="shared" si="5"/>
        <v>0</v>
      </c>
    </row>
    <row r="76" spans="1:12" ht="15.75" x14ac:dyDescent="0.25">
      <c r="B76" s="9">
        <v>1000</v>
      </c>
      <c r="C76" s="10" t="s">
        <v>55</v>
      </c>
      <c r="D76" s="11"/>
      <c r="E76" s="36"/>
      <c r="F76" s="36"/>
      <c r="G76" s="36"/>
      <c r="H76" s="13">
        <f t="shared" si="4"/>
        <v>0</v>
      </c>
      <c r="I76" s="12"/>
      <c r="J76" s="14">
        <f t="shared" si="3"/>
        <v>0</v>
      </c>
      <c r="L76" s="34">
        <f t="shared" si="5"/>
        <v>0</v>
      </c>
    </row>
    <row r="77" spans="1:12" ht="15.75" x14ac:dyDescent="0.25">
      <c r="B77" s="9">
        <v>1000</v>
      </c>
      <c r="C77" s="10" t="s">
        <v>56</v>
      </c>
      <c r="D77" s="11"/>
      <c r="E77" s="36"/>
      <c r="F77" s="36"/>
      <c r="G77" s="36"/>
      <c r="H77" s="13">
        <f t="shared" si="4"/>
        <v>0</v>
      </c>
      <c r="I77" s="12"/>
      <c r="J77" s="14">
        <f t="shared" si="3"/>
        <v>0</v>
      </c>
      <c r="L77" s="34">
        <f t="shared" si="5"/>
        <v>0</v>
      </c>
    </row>
    <row r="78" spans="1:12" ht="15.75" x14ac:dyDescent="0.25">
      <c r="A78">
        <v>599461</v>
      </c>
      <c r="B78" s="18">
        <v>145</v>
      </c>
      <c r="C78" s="10" t="s">
        <v>63</v>
      </c>
      <c r="D78" s="11"/>
      <c r="E78" s="36"/>
      <c r="F78" s="36"/>
      <c r="G78" s="36"/>
      <c r="H78" s="13">
        <f t="shared" si="4"/>
        <v>0</v>
      </c>
      <c r="I78" s="12"/>
      <c r="J78" s="14">
        <f t="shared" si="3"/>
        <v>0</v>
      </c>
      <c r="L78" s="34">
        <f t="shared" si="5"/>
        <v>0</v>
      </c>
    </row>
    <row r="79" spans="1:12" ht="15.75" x14ac:dyDescent="0.25">
      <c r="B79" s="9">
        <v>145</v>
      </c>
      <c r="C79" s="10" t="s">
        <v>64</v>
      </c>
      <c r="D79" s="11"/>
      <c r="E79" s="36"/>
      <c r="F79" s="36"/>
      <c r="G79" s="36"/>
      <c r="H79" s="13">
        <f t="shared" si="4"/>
        <v>0</v>
      </c>
      <c r="I79" s="12"/>
      <c r="J79" s="14">
        <f t="shared" si="3"/>
        <v>0</v>
      </c>
      <c r="L79" s="34">
        <f t="shared" si="5"/>
        <v>0</v>
      </c>
    </row>
    <row r="80" spans="1:12" ht="15.75" x14ac:dyDescent="0.25">
      <c r="B80" s="9">
        <v>145</v>
      </c>
      <c r="C80" s="10" t="s">
        <v>65</v>
      </c>
      <c r="D80" s="11"/>
      <c r="E80" s="36"/>
      <c r="F80" s="36"/>
      <c r="G80" s="36"/>
      <c r="H80" s="13">
        <f t="shared" si="4"/>
        <v>0</v>
      </c>
      <c r="I80" s="12"/>
      <c r="J80" s="14">
        <f t="shared" si="3"/>
        <v>0</v>
      </c>
      <c r="L80" s="34">
        <f t="shared" si="5"/>
        <v>0</v>
      </c>
    </row>
    <row r="81" spans="1:12" ht="15.75" x14ac:dyDescent="0.25">
      <c r="A81">
        <v>522287</v>
      </c>
      <c r="B81" s="9">
        <v>360</v>
      </c>
      <c r="C81" s="10" t="s">
        <v>66</v>
      </c>
      <c r="D81" s="11"/>
      <c r="E81" s="36"/>
      <c r="F81" s="36"/>
      <c r="G81" s="36"/>
      <c r="H81" s="13">
        <f t="shared" si="4"/>
        <v>0</v>
      </c>
      <c r="I81" s="12"/>
      <c r="J81" s="14">
        <f t="shared" si="3"/>
        <v>0</v>
      </c>
      <c r="L81" s="34">
        <f t="shared" si="5"/>
        <v>0</v>
      </c>
    </row>
    <row r="82" spans="1:12" ht="15.75" x14ac:dyDescent="0.25">
      <c r="A82">
        <v>522286</v>
      </c>
      <c r="B82" s="18">
        <v>360</v>
      </c>
      <c r="C82" s="10" t="s">
        <v>67</v>
      </c>
      <c r="D82" s="11"/>
      <c r="E82" s="36"/>
      <c r="F82" s="36"/>
      <c r="G82" s="36"/>
      <c r="H82" s="13">
        <f t="shared" si="4"/>
        <v>0</v>
      </c>
      <c r="I82" s="12"/>
      <c r="J82" s="14">
        <f t="shared" si="3"/>
        <v>0</v>
      </c>
      <c r="L82" s="34">
        <f t="shared" si="5"/>
        <v>0</v>
      </c>
    </row>
    <row r="83" spans="1:12" ht="15.75" x14ac:dyDescent="0.25">
      <c r="A83">
        <v>522278</v>
      </c>
      <c r="B83" s="18">
        <v>360</v>
      </c>
      <c r="C83" s="10" t="s">
        <v>68</v>
      </c>
      <c r="D83" s="11"/>
      <c r="E83" s="36"/>
      <c r="F83" s="36"/>
      <c r="G83" s="36"/>
      <c r="H83" s="13">
        <f t="shared" si="4"/>
        <v>0</v>
      </c>
      <c r="I83" s="12"/>
      <c r="J83" s="14">
        <f t="shared" si="3"/>
        <v>0</v>
      </c>
      <c r="L83" s="34">
        <f t="shared" si="5"/>
        <v>0</v>
      </c>
    </row>
    <row r="84" spans="1:12" ht="15.75" x14ac:dyDescent="0.25">
      <c r="B84" s="9">
        <v>360</v>
      </c>
      <c r="C84" s="10" t="s">
        <v>69</v>
      </c>
      <c r="D84" s="11"/>
      <c r="E84" s="36"/>
      <c r="F84" s="36"/>
      <c r="G84" s="36"/>
      <c r="H84" s="13">
        <f t="shared" si="4"/>
        <v>0</v>
      </c>
      <c r="I84" s="12"/>
      <c r="J84" s="14">
        <f t="shared" si="3"/>
        <v>0</v>
      </c>
      <c r="L84" s="34">
        <f t="shared" si="5"/>
        <v>0</v>
      </c>
    </row>
    <row r="85" spans="1:12" ht="15.75" x14ac:dyDescent="0.25">
      <c r="B85" s="9">
        <v>360</v>
      </c>
      <c r="C85" s="10" t="s">
        <v>70</v>
      </c>
      <c r="D85" s="11"/>
      <c r="E85" s="36"/>
      <c r="F85" s="36"/>
      <c r="G85" s="36"/>
      <c r="H85" s="13">
        <f t="shared" si="4"/>
        <v>0</v>
      </c>
      <c r="I85" s="12"/>
      <c r="J85" s="14">
        <f t="shared" si="3"/>
        <v>0</v>
      </c>
      <c r="L85" s="34">
        <f t="shared" si="5"/>
        <v>0</v>
      </c>
    </row>
    <row r="86" spans="1:12" ht="15.75" x14ac:dyDescent="0.25">
      <c r="B86" s="9">
        <v>360</v>
      </c>
      <c r="C86" s="10" t="s">
        <v>71</v>
      </c>
      <c r="D86" s="11"/>
      <c r="E86" s="36"/>
      <c r="F86" s="36"/>
      <c r="G86" s="36"/>
      <c r="H86" s="13">
        <f t="shared" si="4"/>
        <v>0</v>
      </c>
      <c r="I86" s="12"/>
      <c r="J86" s="14">
        <f t="shared" si="3"/>
        <v>0</v>
      </c>
      <c r="L86" s="34">
        <f t="shared" si="5"/>
        <v>0</v>
      </c>
    </row>
    <row r="87" spans="1:12" ht="15.75" x14ac:dyDescent="0.25">
      <c r="B87" s="9">
        <v>360</v>
      </c>
      <c r="C87" s="10" t="s">
        <v>72</v>
      </c>
      <c r="D87" s="11"/>
      <c r="E87" s="36"/>
      <c r="F87" s="36"/>
      <c r="G87" s="36"/>
      <c r="H87" s="13">
        <f t="shared" si="4"/>
        <v>0</v>
      </c>
      <c r="I87" s="12"/>
      <c r="J87" s="14">
        <f t="shared" si="3"/>
        <v>0</v>
      </c>
      <c r="L87" s="34">
        <f t="shared" si="5"/>
        <v>0</v>
      </c>
    </row>
    <row r="88" spans="1:12" ht="15.75" x14ac:dyDescent="0.25">
      <c r="A88">
        <v>522501</v>
      </c>
      <c r="B88" s="9">
        <v>625</v>
      </c>
      <c r="C88" s="10" t="s">
        <v>66</v>
      </c>
      <c r="D88" s="11">
        <v>73</v>
      </c>
      <c r="E88" s="36">
        <v>10</v>
      </c>
      <c r="F88" s="36">
        <v>19</v>
      </c>
      <c r="G88" s="36">
        <v>6</v>
      </c>
      <c r="H88" s="13">
        <f t="shared" si="4"/>
        <v>108</v>
      </c>
      <c r="I88" s="12"/>
      <c r="J88" s="14">
        <f>H88-I88</f>
        <v>108</v>
      </c>
      <c r="K88">
        <v>108</v>
      </c>
      <c r="L88" s="34">
        <f t="shared" si="5"/>
        <v>0</v>
      </c>
    </row>
    <row r="89" spans="1:12" ht="15.75" x14ac:dyDescent="0.25">
      <c r="A89">
        <v>522502</v>
      </c>
      <c r="B89" s="9">
        <v>625</v>
      </c>
      <c r="C89" s="10" t="s">
        <v>68</v>
      </c>
      <c r="D89" s="11">
        <v>73</v>
      </c>
      <c r="E89" s="36">
        <v>5</v>
      </c>
      <c r="F89" s="36">
        <v>17</v>
      </c>
      <c r="G89" s="36">
        <v>8</v>
      </c>
      <c r="H89" s="13">
        <f t="shared" si="4"/>
        <v>103</v>
      </c>
      <c r="I89" s="12"/>
      <c r="J89" s="14">
        <f t="shared" si="3"/>
        <v>103</v>
      </c>
      <c r="K89">
        <v>103</v>
      </c>
      <c r="L89" s="34">
        <f t="shared" si="5"/>
        <v>0</v>
      </c>
    </row>
    <row r="90" spans="1:12" ht="15.75" x14ac:dyDescent="0.25">
      <c r="A90">
        <v>522500</v>
      </c>
      <c r="B90" s="9">
        <v>625</v>
      </c>
      <c r="C90" s="10" t="s">
        <v>67</v>
      </c>
      <c r="D90" s="11">
        <v>1</v>
      </c>
      <c r="E90" s="36">
        <v>1</v>
      </c>
      <c r="F90" s="36">
        <v>9</v>
      </c>
      <c r="G90" s="36">
        <v>4</v>
      </c>
      <c r="H90" s="13">
        <f t="shared" si="4"/>
        <v>15</v>
      </c>
      <c r="I90" s="12"/>
      <c r="J90" s="14">
        <f t="shared" si="3"/>
        <v>15</v>
      </c>
      <c r="K90">
        <v>15</v>
      </c>
      <c r="L90" s="34">
        <f t="shared" si="5"/>
        <v>0</v>
      </c>
    </row>
    <row r="91" spans="1:12" ht="15.75" x14ac:dyDescent="0.25">
      <c r="A91">
        <v>522499</v>
      </c>
      <c r="B91" s="9">
        <v>625</v>
      </c>
      <c r="C91" s="10" t="s">
        <v>73</v>
      </c>
      <c r="D91" s="11">
        <v>70</v>
      </c>
      <c r="E91" s="36">
        <v>4</v>
      </c>
      <c r="F91" s="36">
        <v>15</v>
      </c>
      <c r="G91" s="36">
        <v>6</v>
      </c>
      <c r="H91" s="13">
        <f t="shared" si="4"/>
        <v>95</v>
      </c>
      <c r="I91" s="12"/>
      <c r="J91" s="14">
        <f t="shared" si="3"/>
        <v>95</v>
      </c>
      <c r="K91">
        <v>95</v>
      </c>
      <c r="L91" s="34">
        <f t="shared" si="5"/>
        <v>0</v>
      </c>
    </row>
    <row r="92" spans="1:12" ht="15.75" x14ac:dyDescent="0.25">
      <c r="B92" s="9">
        <v>625</v>
      </c>
      <c r="C92" s="10" t="s">
        <v>70</v>
      </c>
      <c r="D92" s="11"/>
      <c r="E92" s="36"/>
      <c r="F92" s="36"/>
      <c r="G92" s="36"/>
      <c r="H92" s="13">
        <f t="shared" si="4"/>
        <v>0</v>
      </c>
      <c r="I92" s="12"/>
      <c r="J92" s="14">
        <f t="shared" si="3"/>
        <v>0</v>
      </c>
      <c r="L92" s="34">
        <f t="shared" si="5"/>
        <v>0</v>
      </c>
    </row>
    <row r="93" spans="1:12" ht="15.75" x14ac:dyDescent="0.25">
      <c r="B93" s="9">
        <v>625</v>
      </c>
      <c r="C93" s="10" t="s">
        <v>71</v>
      </c>
      <c r="D93" s="11"/>
      <c r="E93" s="36"/>
      <c r="F93" s="36"/>
      <c r="G93" s="36"/>
      <c r="H93" s="13">
        <f t="shared" si="4"/>
        <v>0</v>
      </c>
      <c r="I93" s="12"/>
      <c r="J93" s="14">
        <f t="shared" si="3"/>
        <v>0</v>
      </c>
      <c r="L93" s="34">
        <f t="shared" si="5"/>
        <v>0</v>
      </c>
    </row>
    <row r="94" spans="1:12" ht="15.75" x14ac:dyDescent="0.25">
      <c r="A94">
        <v>522498</v>
      </c>
      <c r="B94" s="9">
        <v>625</v>
      </c>
      <c r="C94" s="10" t="s">
        <v>74</v>
      </c>
      <c r="D94" s="11"/>
      <c r="E94" s="36"/>
      <c r="F94" s="36"/>
      <c r="G94" s="36"/>
      <c r="H94" s="13">
        <f t="shared" si="4"/>
        <v>0</v>
      </c>
      <c r="I94" s="12"/>
      <c r="J94" s="14">
        <f t="shared" si="3"/>
        <v>0</v>
      </c>
      <c r="L94" s="34">
        <f t="shared" si="5"/>
        <v>0</v>
      </c>
    </row>
    <row r="95" spans="1:12" ht="15.75" x14ac:dyDescent="0.25">
      <c r="A95">
        <v>517507</v>
      </c>
      <c r="B95" s="18">
        <v>500</v>
      </c>
      <c r="C95" s="17" t="s">
        <v>75</v>
      </c>
      <c r="D95" s="11">
        <v>2</v>
      </c>
      <c r="E95" s="36">
        <v>5</v>
      </c>
      <c r="F95" s="36">
        <v>11</v>
      </c>
      <c r="G95" s="36">
        <v>3</v>
      </c>
      <c r="H95" s="13">
        <f t="shared" si="4"/>
        <v>21</v>
      </c>
      <c r="I95" s="12"/>
      <c r="J95" s="14">
        <f t="shared" si="3"/>
        <v>21</v>
      </c>
      <c r="K95">
        <v>21</v>
      </c>
      <c r="L95" s="34">
        <f t="shared" si="5"/>
        <v>0</v>
      </c>
    </row>
    <row r="96" spans="1:12" ht="15.75" x14ac:dyDescent="0.25">
      <c r="A96">
        <v>517499</v>
      </c>
      <c r="B96" s="18">
        <v>360</v>
      </c>
      <c r="C96" s="17" t="s">
        <v>75</v>
      </c>
      <c r="D96" s="11"/>
      <c r="E96" s="36"/>
      <c r="F96" s="36"/>
      <c r="G96" s="36"/>
      <c r="H96" s="13">
        <f t="shared" si="4"/>
        <v>0</v>
      </c>
      <c r="I96" s="12"/>
      <c r="J96" s="14">
        <f t="shared" si="3"/>
        <v>0</v>
      </c>
      <c r="L96" s="34">
        <f t="shared" si="5"/>
        <v>0</v>
      </c>
    </row>
    <row r="97" spans="1:12" ht="15.75" x14ac:dyDescent="0.25">
      <c r="B97" s="9">
        <v>625</v>
      </c>
      <c r="C97" s="10" t="s">
        <v>76</v>
      </c>
      <c r="D97" s="11"/>
      <c r="E97" s="36"/>
      <c r="F97" s="36"/>
      <c r="G97" s="36"/>
      <c r="H97" s="13">
        <f t="shared" si="4"/>
        <v>0</v>
      </c>
      <c r="I97" s="12"/>
      <c r="J97" s="14">
        <f t="shared" si="3"/>
        <v>0</v>
      </c>
      <c r="L97" s="34">
        <f t="shared" si="5"/>
        <v>0</v>
      </c>
    </row>
    <row r="98" spans="1:12" ht="15.75" x14ac:dyDescent="0.25">
      <c r="B98" s="9">
        <v>3030</v>
      </c>
      <c r="C98" s="10" t="s">
        <v>76</v>
      </c>
      <c r="D98" s="11"/>
      <c r="E98" s="36"/>
      <c r="F98" s="36"/>
      <c r="G98" s="36"/>
      <c r="H98" s="13">
        <f t="shared" si="4"/>
        <v>0</v>
      </c>
      <c r="I98" s="12"/>
      <c r="J98" s="14">
        <f t="shared" si="3"/>
        <v>0</v>
      </c>
      <c r="L98" s="34">
        <f t="shared" si="5"/>
        <v>0</v>
      </c>
    </row>
    <row r="99" spans="1:12" ht="15.75" x14ac:dyDescent="0.25">
      <c r="B99" s="9">
        <v>355</v>
      </c>
      <c r="C99" s="10" t="s">
        <v>18</v>
      </c>
      <c r="D99" s="11"/>
      <c r="E99" s="36"/>
      <c r="F99" s="36"/>
      <c r="G99" s="36"/>
      <c r="H99" s="13">
        <f t="shared" si="4"/>
        <v>0</v>
      </c>
      <c r="I99" s="12"/>
      <c r="J99" s="14">
        <f t="shared" si="3"/>
        <v>0</v>
      </c>
      <c r="L99" s="34">
        <f t="shared" si="5"/>
        <v>0</v>
      </c>
    </row>
    <row r="100" spans="1:12" ht="15.75" x14ac:dyDescent="0.25">
      <c r="B100" s="9">
        <v>911</v>
      </c>
      <c r="C100" s="10" t="s">
        <v>77</v>
      </c>
      <c r="D100" s="11"/>
      <c r="E100" s="36"/>
      <c r="F100" s="36"/>
      <c r="G100" s="36"/>
      <c r="H100" s="13">
        <f t="shared" si="4"/>
        <v>0</v>
      </c>
      <c r="I100" s="12"/>
      <c r="J100" s="14">
        <f t="shared" si="3"/>
        <v>0</v>
      </c>
      <c r="L100" s="34">
        <f t="shared" si="5"/>
        <v>0</v>
      </c>
    </row>
    <row r="101" spans="1:12" ht="15.75" x14ac:dyDescent="0.25">
      <c r="A101">
        <v>500386</v>
      </c>
      <c r="B101" s="9">
        <v>355</v>
      </c>
      <c r="C101" s="10" t="s">
        <v>21</v>
      </c>
      <c r="D101" s="11"/>
      <c r="E101" s="36"/>
      <c r="F101" s="36"/>
      <c r="G101" s="36"/>
      <c r="H101" s="13">
        <f t="shared" si="4"/>
        <v>0</v>
      </c>
      <c r="I101" s="12"/>
      <c r="J101" s="14">
        <f t="shared" si="3"/>
        <v>0</v>
      </c>
      <c r="L101" s="34">
        <f t="shared" si="5"/>
        <v>0</v>
      </c>
    </row>
    <row r="102" spans="1:12" ht="15.75" x14ac:dyDescent="0.25">
      <c r="A102">
        <v>598944</v>
      </c>
      <c r="B102" s="20">
        <v>355</v>
      </c>
      <c r="C102" s="21" t="s">
        <v>14</v>
      </c>
      <c r="D102" s="11"/>
      <c r="E102" s="36"/>
      <c r="F102" s="36"/>
      <c r="G102" s="36"/>
      <c r="H102" s="13">
        <f t="shared" si="4"/>
        <v>0</v>
      </c>
      <c r="I102" s="12"/>
      <c r="J102" s="14">
        <f t="shared" si="3"/>
        <v>0</v>
      </c>
      <c r="L102" s="34">
        <f t="shared" si="5"/>
        <v>0</v>
      </c>
    </row>
    <row r="103" spans="1:12" ht="15.75" x14ac:dyDescent="0.25">
      <c r="B103" s="20">
        <v>355</v>
      </c>
      <c r="C103" s="21" t="s">
        <v>16</v>
      </c>
      <c r="D103" s="11"/>
      <c r="E103" s="36"/>
      <c r="F103" s="36"/>
      <c r="G103" s="36"/>
      <c r="H103" s="13">
        <f t="shared" si="4"/>
        <v>0</v>
      </c>
      <c r="I103" s="12"/>
      <c r="J103" s="14">
        <f t="shared" si="3"/>
        <v>0</v>
      </c>
      <c r="L103" s="34">
        <f t="shared" si="5"/>
        <v>0</v>
      </c>
    </row>
    <row r="104" spans="1:12" ht="15.75" x14ac:dyDescent="0.25">
      <c r="A104">
        <v>598947</v>
      </c>
      <c r="B104" s="20">
        <v>355</v>
      </c>
      <c r="C104" s="21" t="s">
        <v>15</v>
      </c>
      <c r="D104" s="11"/>
      <c r="E104" s="36"/>
      <c r="F104" s="36"/>
      <c r="G104" s="36"/>
      <c r="H104" s="13">
        <f t="shared" si="4"/>
        <v>0</v>
      </c>
      <c r="I104" s="12"/>
      <c r="J104" s="14">
        <v>0</v>
      </c>
      <c r="L104" s="34">
        <f t="shared" si="5"/>
        <v>0</v>
      </c>
    </row>
    <row r="105" spans="1:12" ht="15.75" x14ac:dyDescent="0.25">
      <c r="A105">
        <v>598943</v>
      </c>
      <c r="B105" s="20">
        <v>355</v>
      </c>
      <c r="C105" s="21" t="s">
        <v>17</v>
      </c>
      <c r="D105" s="11"/>
      <c r="E105" s="36"/>
      <c r="F105" s="36"/>
      <c r="G105" s="36"/>
      <c r="H105" s="13">
        <f t="shared" si="4"/>
        <v>0</v>
      </c>
      <c r="I105" s="12"/>
      <c r="J105" s="14">
        <f t="shared" si="3"/>
        <v>0</v>
      </c>
      <c r="L105" s="34">
        <f t="shared" si="5"/>
        <v>0</v>
      </c>
    </row>
    <row r="106" spans="1:12" ht="15.75" x14ac:dyDescent="0.25">
      <c r="B106" s="20">
        <v>355</v>
      </c>
      <c r="C106" s="21" t="s">
        <v>78</v>
      </c>
      <c r="D106" s="11"/>
      <c r="E106" s="36"/>
      <c r="F106" s="36"/>
      <c r="G106" s="36"/>
      <c r="H106" s="13">
        <f t="shared" si="4"/>
        <v>0</v>
      </c>
      <c r="I106" s="12"/>
      <c r="J106" s="14">
        <f t="shared" si="3"/>
        <v>0</v>
      </c>
      <c r="L106" s="34">
        <f t="shared" si="5"/>
        <v>0</v>
      </c>
    </row>
    <row r="107" spans="1:12" ht="15.75" x14ac:dyDescent="0.25">
      <c r="B107" s="20">
        <v>355</v>
      </c>
      <c r="C107" s="21" t="s">
        <v>79</v>
      </c>
      <c r="D107" s="11"/>
      <c r="E107" s="36"/>
      <c r="F107" s="36"/>
      <c r="G107" s="36"/>
      <c r="H107" s="13">
        <f t="shared" si="4"/>
        <v>0</v>
      </c>
      <c r="I107" s="12"/>
      <c r="J107" s="14">
        <f t="shared" si="3"/>
        <v>0</v>
      </c>
      <c r="L107" s="34">
        <f t="shared" si="5"/>
        <v>0</v>
      </c>
    </row>
    <row r="108" spans="1:12" ht="15.75" x14ac:dyDescent="0.25">
      <c r="B108" s="20">
        <v>355</v>
      </c>
      <c r="C108" s="21" t="s">
        <v>80</v>
      </c>
      <c r="D108" s="11"/>
      <c r="E108" s="36"/>
      <c r="F108" s="36"/>
      <c r="G108" s="36"/>
      <c r="H108" s="13">
        <f t="shared" si="4"/>
        <v>0</v>
      </c>
      <c r="I108" s="12"/>
      <c r="J108" s="14">
        <f t="shared" si="3"/>
        <v>0</v>
      </c>
      <c r="L108" s="34">
        <f t="shared" si="5"/>
        <v>0</v>
      </c>
    </row>
    <row r="109" spans="1:12" ht="15.75" x14ac:dyDescent="0.25">
      <c r="B109" s="20">
        <v>145</v>
      </c>
      <c r="C109" s="21" t="s">
        <v>70</v>
      </c>
      <c r="D109" s="11"/>
      <c r="E109" s="36"/>
      <c r="F109" s="36"/>
      <c r="G109" s="36"/>
      <c r="H109" s="13">
        <f t="shared" si="4"/>
        <v>0</v>
      </c>
      <c r="I109" s="12"/>
      <c r="J109" s="14">
        <f t="shared" si="3"/>
        <v>0</v>
      </c>
      <c r="L109" s="34">
        <f t="shared" si="5"/>
        <v>0</v>
      </c>
    </row>
    <row r="110" spans="1:12" ht="15.75" x14ac:dyDescent="0.25">
      <c r="B110" s="20">
        <v>145</v>
      </c>
      <c r="C110" s="21" t="s">
        <v>68</v>
      </c>
      <c r="D110" s="11"/>
      <c r="E110" s="36"/>
      <c r="F110" s="36"/>
      <c r="G110" s="36"/>
      <c r="H110" s="13">
        <f t="shared" si="4"/>
        <v>0</v>
      </c>
      <c r="I110" s="12"/>
      <c r="J110" s="14">
        <f t="shared" si="3"/>
        <v>0</v>
      </c>
      <c r="L110" s="34">
        <f t="shared" si="5"/>
        <v>0</v>
      </c>
    </row>
    <row r="111" spans="1:12" ht="15.75" x14ac:dyDescent="0.25">
      <c r="B111" s="20">
        <v>145</v>
      </c>
      <c r="C111" s="21" t="s">
        <v>73</v>
      </c>
      <c r="D111" s="11"/>
      <c r="E111" s="36"/>
      <c r="F111" s="36"/>
      <c r="G111" s="36"/>
      <c r="H111" s="13">
        <f t="shared" si="4"/>
        <v>0</v>
      </c>
      <c r="I111" s="12"/>
      <c r="J111" s="14">
        <f t="shared" si="3"/>
        <v>0</v>
      </c>
      <c r="L111" s="34">
        <f t="shared" si="5"/>
        <v>0</v>
      </c>
    </row>
    <row r="112" spans="1:12" ht="15.75" x14ac:dyDescent="0.25">
      <c r="B112" s="20"/>
      <c r="C112" s="21" t="s">
        <v>66</v>
      </c>
      <c r="D112" s="11"/>
      <c r="E112" s="36"/>
      <c r="F112" s="36"/>
      <c r="G112" s="36"/>
      <c r="H112" s="13">
        <f t="shared" si="4"/>
        <v>0</v>
      </c>
      <c r="I112" s="12"/>
      <c r="J112" s="14">
        <f t="shared" si="3"/>
        <v>0</v>
      </c>
      <c r="L112" s="34">
        <f t="shared" si="5"/>
        <v>0</v>
      </c>
    </row>
    <row r="113" spans="1:12" ht="15.75" x14ac:dyDescent="0.25">
      <c r="B113" s="20"/>
      <c r="C113" s="21" t="s">
        <v>81</v>
      </c>
      <c r="D113" s="11"/>
      <c r="E113" s="36"/>
      <c r="F113" s="36"/>
      <c r="G113" s="36"/>
      <c r="H113" s="13">
        <f t="shared" si="4"/>
        <v>0</v>
      </c>
      <c r="I113" s="12"/>
      <c r="J113" s="14">
        <f t="shared" si="3"/>
        <v>0</v>
      </c>
      <c r="L113" s="34">
        <f t="shared" si="5"/>
        <v>0</v>
      </c>
    </row>
    <row r="114" spans="1:12" ht="15.75" x14ac:dyDescent="0.25">
      <c r="B114" s="20"/>
      <c r="C114" s="21" t="s">
        <v>74</v>
      </c>
      <c r="D114" s="11"/>
      <c r="E114" s="36"/>
      <c r="F114" s="36"/>
      <c r="G114" s="36"/>
      <c r="H114" s="13">
        <f t="shared" si="4"/>
        <v>0</v>
      </c>
      <c r="I114" s="12"/>
      <c r="J114" s="14">
        <f t="shared" si="3"/>
        <v>0</v>
      </c>
      <c r="L114" s="34">
        <f t="shared" si="5"/>
        <v>0</v>
      </c>
    </row>
    <row r="115" spans="1:12" ht="15.75" x14ac:dyDescent="0.25">
      <c r="B115" s="20"/>
      <c r="C115" s="21" t="s">
        <v>82</v>
      </c>
      <c r="D115" s="11"/>
      <c r="E115" s="36"/>
      <c r="F115" s="36"/>
      <c r="G115" s="36"/>
      <c r="H115" s="13">
        <f t="shared" si="4"/>
        <v>0</v>
      </c>
      <c r="I115" s="12"/>
      <c r="J115" s="14">
        <f t="shared" si="3"/>
        <v>0</v>
      </c>
      <c r="L115" s="34">
        <f t="shared" si="5"/>
        <v>0</v>
      </c>
    </row>
    <row r="116" spans="1:12" ht="15.75" x14ac:dyDescent="0.25">
      <c r="B116" s="20">
        <v>250</v>
      </c>
      <c r="C116" s="21" t="s">
        <v>12</v>
      </c>
      <c r="D116" s="11"/>
      <c r="E116" s="36"/>
      <c r="F116" s="36"/>
      <c r="G116" s="36"/>
      <c r="H116" s="13">
        <f t="shared" si="4"/>
        <v>0</v>
      </c>
      <c r="I116" s="12"/>
      <c r="J116" s="14">
        <f t="shared" si="3"/>
        <v>0</v>
      </c>
      <c r="L116" s="34">
        <f t="shared" si="5"/>
        <v>0</v>
      </c>
    </row>
    <row r="117" spans="1:12" ht="15.75" x14ac:dyDescent="0.25">
      <c r="B117" s="20">
        <v>250</v>
      </c>
      <c r="C117" s="21" t="s">
        <v>83</v>
      </c>
      <c r="D117" s="11"/>
      <c r="E117" s="36"/>
      <c r="F117" s="36"/>
      <c r="G117" s="36"/>
      <c r="H117" s="13">
        <f t="shared" si="4"/>
        <v>0</v>
      </c>
      <c r="I117" s="12"/>
      <c r="J117" s="14">
        <f t="shared" si="3"/>
        <v>0</v>
      </c>
      <c r="L117" s="34">
        <f t="shared" si="5"/>
        <v>0</v>
      </c>
    </row>
    <row r="118" spans="1:12" ht="15.75" x14ac:dyDescent="0.25">
      <c r="B118" s="20">
        <v>1000</v>
      </c>
      <c r="C118" s="21" t="s">
        <v>83</v>
      </c>
      <c r="D118" s="11"/>
      <c r="E118" s="36"/>
      <c r="F118" s="36"/>
      <c r="G118" s="36"/>
      <c r="H118" s="13">
        <f t="shared" si="4"/>
        <v>0</v>
      </c>
      <c r="I118" s="12"/>
      <c r="J118" s="14">
        <f t="shared" si="3"/>
        <v>0</v>
      </c>
      <c r="L118" s="34">
        <f t="shared" si="5"/>
        <v>0</v>
      </c>
    </row>
    <row r="119" spans="1:12" ht="15.75" x14ac:dyDescent="0.25">
      <c r="B119" s="20">
        <v>250</v>
      </c>
      <c r="C119" s="21" t="s">
        <v>84</v>
      </c>
      <c r="D119" s="11"/>
      <c r="E119" s="36"/>
      <c r="F119" s="36"/>
      <c r="G119" s="36"/>
      <c r="H119" s="13">
        <f t="shared" si="4"/>
        <v>0</v>
      </c>
      <c r="I119" s="12"/>
      <c r="J119" s="14">
        <f t="shared" si="3"/>
        <v>0</v>
      </c>
      <c r="L119" s="34">
        <f t="shared" si="5"/>
        <v>0</v>
      </c>
    </row>
    <row r="120" spans="1:12" ht="15.75" x14ac:dyDescent="0.25">
      <c r="A120">
        <v>522665</v>
      </c>
      <c r="B120" s="22">
        <v>1.5</v>
      </c>
      <c r="C120" s="23" t="s">
        <v>85</v>
      </c>
      <c r="D120" s="11"/>
      <c r="E120" s="36"/>
      <c r="F120" s="36"/>
      <c r="G120" s="36"/>
      <c r="H120" s="13">
        <f t="shared" si="4"/>
        <v>0</v>
      </c>
      <c r="I120" s="12"/>
      <c r="J120" s="14">
        <f t="shared" si="3"/>
        <v>0</v>
      </c>
      <c r="L120" s="34">
        <f t="shared" si="5"/>
        <v>0</v>
      </c>
    </row>
    <row r="121" spans="1:12" ht="15.75" x14ac:dyDescent="0.25">
      <c r="A121">
        <v>522664</v>
      </c>
      <c r="B121" s="20">
        <v>1.5</v>
      </c>
      <c r="C121" s="21" t="s">
        <v>86</v>
      </c>
      <c r="D121" s="11"/>
      <c r="E121" s="36"/>
      <c r="F121" s="36"/>
      <c r="G121" s="36"/>
      <c r="H121" s="13">
        <f t="shared" si="4"/>
        <v>0</v>
      </c>
      <c r="I121" s="12"/>
      <c r="J121" s="14">
        <f t="shared" si="3"/>
        <v>0</v>
      </c>
      <c r="L121" s="34">
        <f t="shared" si="5"/>
        <v>0</v>
      </c>
    </row>
    <row r="122" spans="1:12" ht="15.75" x14ac:dyDescent="0.25">
      <c r="B122" s="24">
        <v>250</v>
      </c>
      <c r="C122" s="21" t="s">
        <v>13</v>
      </c>
      <c r="D122" s="11"/>
      <c r="E122" s="36"/>
      <c r="F122" s="36"/>
      <c r="G122" s="36"/>
      <c r="H122" s="13">
        <f t="shared" si="4"/>
        <v>0</v>
      </c>
      <c r="I122" s="12"/>
      <c r="J122" s="14">
        <f t="shared" ref="J122:J183" si="6">H122-I122</f>
        <v>0</v>
      </c>
      <c r="L122" s="34">
        <f t="shared" si="5"/>
        <v>0</v>
      </c>
    </row>
    <row r="123" spans="1:12" ht="15.75" x14ac:dyDescent="0.25">
      <c r="B123" s="20">
        <v>360</v>
      </c>
      <c r="C123" s="21" t="s">
        <v>87</v>
      </c>
      <c r="D123" s="11"/>
      <c r="E123" s="36"/>
      <c r="F123" s="36"/>
      <c r="G123" s="36"/>
      <c r="H123" s="13">
        <f t="shared" si="4"/>
        <v>0</v>
      </c>
      <c r="I123" s="12"/>
      <c r="J123" s="14">
        <f t="shared" si="6"/>
        <v>0</v>
      </c>
      <c r="L123" s="34">
        <f t="shared" si="5"/>
        <v>0</v>
      </c>
    </row>
    <row r="124" spans="1:12" ht="15.75" x14ac:dyDescent="0.25">
      <c r="B124" s="20">
        <v>1000</v>
      </c>
      <c r="C124" s="21" t="s">
        <v>75</v>
      </c>
      <c r="D124" s="11"/>
      <c r="E124" s="36"/>
      <c r="F124" s="36"/>
      <c r="G124" s="36"/>
      <c r="H124" s="13">
        <f t="shared" si="4"/>
        <v>0</v>
      </c>
      <c r="I124" s="12"/>
      <c r="J124" s="14">
        <f t="shared" si="6"/>
        <v>0</v>
      </c>
      <c r="L124" s="34">
        <f t="shared" si="5"/>
        <v>0</v>
      </c>
    </row>
    <row r="125" spans="1:12" ht="15.75" x14ac:dyDescent="0.25">
      <c r="B125" s="20">
        <v>355</v>
      </c>
      <c r="C125" s="21" t="s">
        <v>88</v>
      </c>
      <c r="D125" s="11"/>
      <c r="E125" s="36"/>
      <c r="F125" s="36"/>
      <c r="G125" s="36"/>
      <c r="H125" s="13">
        <f t="shared" si="4"/>
        <v>0</v>
      </c>
      <c r="I125" s="12"/>
      <c r="J125" s="14">
        <f t="shared" si="6"/>
        <v>0</v>
      </c>
      <c r="L125" s="34">
        <f t="shared" si="5"/>
        <v>0</v>
      </c>
    </row>
    <row r="126" spans="1:12" ht="15.75" x14ac:dyDescent="0.25">
      <c r="B126" s="20">
        <v>330</v>
      </c>
      <c r="C126" s="21" t="s">
        <v>89</v>
      </c>
      <c r="D126" s="11"/>
      <c r="E126" s="36"/>
      <c r="F126" s="36"/>
      <c r="G126" s="36"/>
      <c r="H126" s="13">
        <f t="shared" si="4"/>
        <v>0</v>
      </c>
      <c r="I126" s="12"/>
      <c r="J126" s="14">
        <f t="shared" si="6"/>
        <v>0</v>
      </c>
      <c r="L126" s="34">
        <f t="shared" si="5"/>
        <v>0</v>
      </c>
    </row>
    <row r="127" spans="1:12" ht="15.75" x14ac:dyDescent="0.25">
      <c r="B127" s="20">
        <v>330</v>
      </c>
      <c r="C127" s="21" t="s">
        <v>90</v>
      </c>
      <c r="D127" s="11"/>
      <c r="E127" s="36"/>
      <c r="F127" s="36"/>
      <c r="G127" s="36"/>
      <c r="H127" s="13">
        <f t="shared" si="4"/>
        <v>0</v>
      </c>
      <c r="I127" s="12"/>
      <c r="J127" s="14">
        <f t="shared" si="6"/>
        <v>0</v>
      </c>
      <c r="L127" s="34">
        <f t="shared" si="5"/>
        <v>0</v>
      </c>
    </row>
    <row r="128" spans="1:12" ht="15.75" x14ac:dyDescent="0.25">
      <c r="B128" s="20">
        <v>330</v>
      </c>
      <c r="C128" s="21" t="s">
        <v>91</v>
      </c>
      <c r="D128" s="11"/>
      <c r="E128" s="36"/>
      <c r="F128" s="36"/>
      <c r="G128" s="36"/>
      <c r="H128" s="13">
        <f t="shared" si="4"/>
        <v>0</v>
      </c>
      <c r="I128" s="12"/>
      <c r="J128" s="14">
        <f t="shared" si="6"/>
        <v>0</v>
      </c>
      <c r="L128" s="34">
        <f t="shared" si="5"/>
        <v>0</v>
      </c>
    </row>
    <row r="129" spans="1:12" ht="15.75" x14ac:dyDescent="0.25">
      <c r="B129" s="20">
        <v>330</v>
      </c>
      <c r="C129" s="21" t="s">
        <v>92</v>
      </c>
      <c r="D129" s="11"/>
      <c r="E129" s="36"/>
      <c r="F129" s="36"/>
      <c r="G129" s="36"/>
      <c r="H129" s="13">
        <f t="shared" si="4"/>
        <v>0</v>
      </c>
      <c r="I129" s="12"/>
      <c r="J129" s="14">
        <f t="shared" si="6"/>
        <v>0</v>
      </c>
      <c r="L129" s="34">
        <f t="shared" si="5"/>
        <v>0</v>
      </c>
    </row>
    <row r="130" spans="1:12" ht="15.75" x14ac:dyDescent="0.25">
      <c r="B130" s="20">
        <v>330</v>
      </c>
      <c r="C130" s="21" t="s">
        <v>93</v>
      </c>
      <c r="D130" s="11"/>
      <c r="E130" s="36"/>
      <c r="F130" s="36"/>
      <c r="G130" s="36"/>
      <c r="H130" s="13">
        <f t="shared" si="4"/>
        <v>0</v>
      </c>
      <c r="I130" s="12"/>
      <c r="J130" s="14">
        <f t="shared" si="6"/>
        <v>0</v>
      </c>
      <c r="L130" s="34">
        <f t="shared" si="5"/>
        <v>0</v>
      </c>
    </row>
    <row r="131" spans="1:12" ht="15.75" x14ac:dyDescent="0.25">
      <c r="B131" s="20">
        <v>330</v>
      </c>
      <c r="C131" s="21" t="s">
        <v>94</v>
      </c>
      <c r="D131" s="11"/>
      <c r="E131" s="36"/>
      <c r="F131" s="36"/>
      <c r="G131" s="36"/>
      <c r="H131" s="13">
        <f t="shared" ref="H131:H183" si="7">D131+E131+F131+G131</f>
        <v>0</v>
      </c>
      <c r="I131" s="12"/>
      <c r="J131" s="14">
        <f t="shared" si="6"/>
        <v>0</v>
      </c>
      <c r="L131" s="34">
        <f t="shared" ref="L131:L183" si="8">K131-H131</f>
        <v>0</v>
      </c>
    </row>
    <row r="132" spans="1:12" ht="15.75" x14ac:dyDescent="0.25">
      <c r="B132" s="20">
        <v>330</v>
      </c>
      <c r="C132" s="21" t="s">
        <v>95</v>
      </c>
      <c r="D132" s="11"/>
      <c r="E132" s="36"/>
      <c r="F132" s="36"/>
      <c r="G132" s="36"/>
      <c r="H132" s="13">
        <f t="shared" si="7"/>
        <v>0</v>
      </c>
      <c r="I132" s="12"/>
      <c r="J132" s="14">
        <f t="shared" si="6"/>
        <v>0</v>
      </c>
      <c r="L132" s="34">
        <f t="shared" si="8"/>
        <v>0</v>
      </c>
    </row>
    <row r="133" spans="1:12" ht="15.75" x14ac:dyDescent="0.25">
      <c r="B133" s="20">
        <v>330</v>
      </c>
      <c r="C133" s="21" t="s">
        <v>96</v>
      </c>
      <c r="D133" s="11"/>
      <c r="E133" s="36"/>
      <c r="F133" s="36"/>
      <c r="G133" s="36"/>
      <c r="H133" s="13">
        <f t="shared" si="7"/>
        <v>0</v>
      </c>
      <c r="I133" s="12"/>
      <c r="J133" s="14">
        <f t="shared" si="6"/>
        <v>0</v>
      </c>
      <c r="L133" s="34">
        <f t="shared" si="8"/>
        <v>0</v>
      </c>
    </row>
    <row r="134" spans="1:12" ht="15.75" x14ac:dyDescent="0.25">
      <c r="B134" s="20">
        <v>330</v>
      </c>
      <c r="C134" s="21" t="s">
        <v>97</v>
      </c>
      <c r="D134" s="11"/>
      <c r="E134" s="36"/>
      <c r="F134" s="36"/>
      <c r="G134" s="36"/>
      <c r="H134" s="13">
        <f t="shared" si="7"/>
        <v>0</v>
      </c>
      <c r="I134" s="12"/>
      <c r="J134" s="14">
        <f t="shared" si="6"/>
        <v>0</v>
      </c>
      <c r="L134" s="34">
        <f t="shared" si="8"/>
        <v>0</v>
      </c>
    </row>
    <row r="135" spans="1:12" ht="15.75" x14ac:dyDescent="0.25">
      <c r="B135" s="20"/>
      <c r="C135" s="21" t="s">
        <v>98</v>
      </c>
      <c r="D135" s="11"/>
      <c r="E135" s="36"/>
      <c r="F135" s="36"/>
      <c r="G135" s="36"/>
      <c r="H135" s="13">
        <f t="shared" si="7"/>
        <v>0</v>
      </c>
      <c r="I135" s="12"/>
      <c r="J135" s="14">
        <f t="shared" si="6"/>
        <v>0</v>
      </c>
      <c r="L135" s="34">
        <f t="shared" si="8"/>
        <v>0</v>
      </c>
    </row>
    <row r="136" spans="1:12" ht="15.75" x14ac:dyDescent="0.25">
      <c r="B136" s="24">
        <v>473</v>
      </c>
      <c r="C136" s="21" t="s">
        <v>43</v>
      </c>
      <c r="D136" s="11"/>
      <c r="E136" s="36"/>
      <c r="F136" s="36"/>
      <c r="G136" s="36"/>
      <c r="H136" s="13">
        <f t="shared" si="7"/>
        <v>0</v>
      </c>
      <c r="I136" s="12"/>
      <c r="J136" s="14">
        <f t="shared" si="6"/>
        <v>0</v>
      </c>
      <c r="L136" s="34">
        <f t="shared" si="8"/>
        <v>0</v>
      </c>
    </row>
    <row r="137" spans="1:12" ht="15.75" x14ac:dyDescent="0.25">
      <c r="B137" s="24">
        <v>473</v>
      </c>
      <c r="C137" s="21" t="s">
        <v>45</v>
      </c>
      <c r="D137" s="11"/>
      <c r="E137" s="36"/>
      <c r="F137" s="36"/>
      <c r="G137" s="36"/>
      <c r="H137" s="13">
        <f t="shared" si="7"/>
        <v>0</v>
      </c>
      <c r="I137" s="12"/>
      <c r="J137" s="14">
        <f t="shared" si="6"/>
        <v>0</v>
      </c>
      <c r="L137" s="34">
        <f t="shared" si="8"/>
        <v>0</v>
      </c>
    </row>
    <row r="138" spans="1:12" ht="15.75" x14ac:dyDescent="0.25">
      <c r="A138">
        <v>599675</v>
      </c>
      <c r="B138" s="24">
        <v>473</v>
      </c>
      <c r="C138" s="21" t="s">
        <v>99</v>
      </c>
      <c r="D138" s="11"/>
      <c r="E138" s="36"/>
      <c r="F138" s="36"/>
      <c r="G138" s="36"/>
      <c r="H138" s="13">
        <f t="shared" si="7"/>
        <v>0</v>
      </c>
      <c r="I138" s="12"/>
      <c r="J138" s="14">
        <f t="shared" si="6"/>
        <v>0</v>
      </c>
      <c r="L138" s="34">
        <f t="shared" si="8"/>
        <v>0</v>
      </c>
    </row>
    <row r="139" spans="1:12" ht="15.75" x14ac:dyDescent="0.25">
      <c r="B139" s="20">
        <v>473</v>
      </c>
      <c r="C139" s="21" t="s">
        <v>46</v>
      </c>
      <c r="D139" s="11"/>
      <c r="E139" s="36"/>
      <c r="F139" s="36"/>
      <c r="G139" s="36"/>
      <c r="H139" s="13">
        <f t="shared" si="7"/>
        <v>0</v>
      </c>
      <c r="I139" s="12"/>
      <c r="J139" s="14">
        <f t="shared" si="6"/>
        <v>0</v>
      </c>
      <c r="L139" s="34">
        <f t="shared" si="8"/>
        <v>0</v>
      </c>
    </row>
    <row r="140" spans="1:12" ht="15.75" x14ac:dyDescent="0.25">
      <c r="A140">
        <v>522564</v>
      </c>
      <c r="B140" s="20">
        <v>473</v>
      </c>
      <c r="C140" s="21" t="s">
        <v>100</v>
      </c>
      <c r="D140" s="11"/>
      <c r="E140" s="36"/>
      <c r="F140" s="36"/>
      <c r="G140" s="36"/>
      <c r="H140" s="13">
        <f t="shared" si="7"/>
        <v>0</v>
      </c>
      <c r="I140" s="12"/>
      <c r="J140" s="14">
        <f>H140-I140</f>
        <v>0</v>
      </c>
      <c r="L140" s="34">
        <f t="shared" si="8"/>
        <v>0</v>
      </c>
    </row>
    <row r="141" spans="1:12" ht="15.75" x14ac:dyDescent="0.25">
      <c r="B141" s="20">
        <v>625</v>
      </c>
      <c r="C141" s="21" t="s">
        <v>100</v>
      </c>
      <c r="D141" s="11"/>
      <c r="E141" s="36"/>
      <c r="F141" s="36"/>
      <c r="G141" s="36"/>
      <c r="H141" s="13">
        <f t="shared" si="7"/>
        <v>0</v>
      </c>
      <c r="I141" s="12"/>
      <c r="J141" s="14">
        <f t="shared" si="6"/>
        <v>0</v>
      </c>
      <c r="L141" s="34">
        <f t="shared" si="8"/>
        <v>0</v>
      </c>
    </row>
    <row r="142" spans="1:12" ht="15.75" x14ac:dyDescent="0.25">
      <c r="A142" t="s">
        <v>101</v>
      </c>
      <c r="B142" s="20"/>
      <c r="C142" s="21" t="s">
        <v>102</v>
      </c>
      <c r="D142" s="11"/>
      <c r="E142" s="36"/>
      <c r="F142" s="36"/>
      <c r="G142" s="36"/>
      <c r="H142" s="13">
        <f t="shared" si="7"/>
        <v>0</v>
      </c>
      <c r="I142" s="12"/>
      <c r="J142" s="14">
        <f t="shared" si="6"/>
        <v>0</v>
      </c>
      <c r="L142" s="34">
        <f t="shared" si="8"/>
        <v>0</v>
      </c>
    </row>
    <row r="143" spans="1:12" ht="15.75" x14ac:dyDescent="0.25">
      <c r="B143" s="20">
        <v>400</v>
      </c>
      <c r="C143" s="21" t="s">
        <v>103</v>
      </c>
      <c r="D143" s="11"/>
      <c r="E143" s="36"/>
      <c r="F143" s="36"/>
      <c r="G143" s="36"/>
      <c r="H143" s="13">
        <f t="shared" si="7"/>
        <v>0</v>
      </c>
      <c r="I143" s="12"/>
      <c r="J143" s="14">
        <f t="shared" si="6"/>
        <v>0</v>
      </c>
      <c r="L143" s="34">
        <f t="shared" si="8"/>
        <v>0</v>
      </c>
    </row>
    <row r="144" spans="1:12" ht="15.75" x14ac:dyDescent="0.25">
      <c r="B144" s="20">
        <v>300</v>
      </c>
      <c r="C144" s="21" t="s">
        <v>43</v>
      </c>
      <c r="D144" s="11"/>
      <c r="E144" s="36"/>
      <c r="F144" s="36"/>
      <c r="G144" s="36"/>
      <c r="H144" s="13">
        <f t="shared" si="7"/>
        <v>0</v>
      </c>
      <c r="I144" s="12"/>
      <c r="J144" s="14">
        <f t="shared" si="6"/>
        <v>0</v>
      </c>
      <c r="L144" s="34">
        <f t="shared" si="8"/>
        <v>0</v>
      </c>
    </row>
    <row r="145" spans="1:12" ht="15.75" x14ac:dyDescent="0.25">
      <c r="B145" s="20">
        <v>300</v>
      </c>
      <c r="C145" s="21" t="s">
        <v>45</v>
      </c>
      <c r="D145" s="11"/>
      <c r="E145" s="36"/>
      <c r="F145" s="36"/>
      <c r="G145" s="36"/>
      <c r="H145" s="13">
        <f t="shared" si="7"/>
        <v>0</v>
      </c>
      <c r="I145" s="12"/>
      <c r="J145" s="14">
        <f t="shared" si="6"/>
        <v>0</v>
      </c>
      <c r="L145" s="34">
        <f t="shared" si="8"/>
        <v>0</v>
      </c>
    </row>
    <row r="146" spans="1:12" ht="15.75" x14ac:dyDescent="0.25">
      <c r="B146" s="20">
        <v>300</v>
      </c>
      <c r="C146" s="21" t="s">
        <v>44</v>
      </c>
      <c r="D146" s="11"/>
      <c r="E146" s="36"/>
      <c r="F146" s="36"/>
      <c r="G146" s="36"/>
      <c r="H146" s="13">
        <f t="shared" si="7"/>
        <v>0</v>
      </c>
      <c r="I146" s="12"/>
      <c r="J146" s="14">
        <f t="shared" si="6"/>
        <v>0</v>
      </c>
      <c r="L146" s="34">
        <f t="shared" si="8"/>
        <v>0</v>
      </c>
    </row>
    <row r="147" spans="1:12" ht="15.75" x14ac:dyDescent="0.25">
      <c r="B147" s="20">
        <v>1090</v>
      </c>
      <c r="C147" s="21" t="s">
        <v>11</v>
      </c>
      <c r="D147" s="11"/>
      <c r="E147" s="36"/>
      <c r="F147" s="36"/>
      <c r="G147" s="36"/>
      <c r="H147" s="13">
        <f t="shared" si="7"/>
        <v>0</v>
      </c>
      <c r="I147" s="12"/>
      <c r="J147" s="14">
        <f t="shared" si="6"/>
        <v>0</v>
      </c>
      <c r="L147" s="34">
        <f t="shared" si="8"/>
        <v>0</v>
      </c>
    </row>
    <row r="148" spans="1:12" ht="15.75" x14ac:dyDescent="0.25">
      <c r="B148" s="20">
        <v>2600</v>
      </c>
      <c r="C148" s="21" t="s">
        <v>11</v>
      </c>
      <c r="D148" s="11"/>
      <c r="E148" s="36"/>
      <c r="F148" s="36"/>
      <c r="G148" s="36"/>
      <c r="H148" s="13">
        <f t="shared" si="7"/>
        <v>0</v>
      </c>
      <c r="I148" s="12"/>
      <c r="J148" s="14">
        <f t="shared" si="6"/>
        <v>0</v>
      </c>
      <c r="L148" s="34">
        <f t="shared" si="8"/>
        <v>0</v>
      </c>
    </row>
    <row r="149" spans="1:12" ht="15.75" x14ac:dyDescent="0.25">
      <c r="B149" s="20">
        <v>250</v>
      </c>
      <c r="C149" s="21" t="s">
        <v>104</v>
      </c>
      <c r="D149" s="11"/>
      <c r="E149" s="36"/>
      <c r="F149" s="36"/>
      <c r="G149" s="36"/>
      <c r="H149" s="13">
        <f t="shared" si="7"/>
        <v>0</v>
      </c>
      <c r="I149" s="12"/>
      <c r="J149" s="14">
        <f t="shared" si="6"/>
        <v>0</v>
      </c>
      <c r="L149" s="34">
        <f t="shared" si="8"/>
        <v>0</v>
      </c>
    </row>
    <row r="150" spans="1:12" ht="15.75" x14ac:dyDescent="0.25">
      <c r="B150" s="20"/>
      <c r="C150" s="21" t="s">
        <v>105</v>
      </c>
      <c r="D150" s="11"/>
      <c r="E150" s="36"/>
      <c r="F150" s="36"/>
      <c r="G150" s="36"/>
      <c r="H150" s="13">
        <f t="shared" si="7"/>
        <v>0</v>
      </c>
      <c r="I150" s="12"/>
      <c r="J150" s="14">
        <f t="shared" si="6"/>
        <v>0</v>
      </c>
      <c r="L150" s="34">
        <f t="shared" si="8"/>
        <v>0</v>
      </c>
    </row>
    <row r="151" spans="1:12" ht="15.75" x14ac:dyDescent="0.25">
      <c r="B151" s="20"/>
      <c r="C151" s="21" t="s">
        <v>16</v>
      </c>
      <c r="D151" s="11"/>
      <c r="E151" s="36"/>
      <c r="F151" s="36"/>
      <c r="G151" s="36"/>
      <c r="H151" s="13">
        <f t="shared" si="7"/>
        <v>0</v>
      </c>
      <c r="I151" s="12"/>
      <c r="J151" s="14">
        <f t="shared" si="6"/>
        <v>0</v>
      </c>
      <c r="L151" s="34">
        <f t="shared" si="8"/>
        <v>0</v>
      </c>
    </row>
    <row r="152" spans="1:12" ht="15.75" x14ac:dyDescent="0.25">
      <c r="B152" s="20"/>
      <c r="C152" s="21" t="s">
        <v>106</v>
      </c>
      <c r="D152" s="11"/>
      <c r="E152" s="36"/>
      <c r="F152" s="36"/>
      <c r="G152" s="36"/>
      <c r="H152" s="13">
        <f t="shared" si="7"/>
        <v>0</v>
      </c>
      <c r="I152" s="12"/>
      <c r="J152" s="14">
        <f t="shared" si="6"/>
        <v>0</v>
      </c>
      <c r="L152" s="34">
        <f t="shared" si="8"/>
        <v>0</v>
      </c>
    </row>
    <row r="153" spans="1:12" ht="15.75" x14ac:dyDescent="0.25">
      <c r="B153" s="20"/>
      <c r="C153" s="21" t="s">
        <v>107</v>
      </c>
      <c r="D153" s="11"/>
      <c r="E153" s="36"/>
      <c r="F153" s="36"/>
      <c r="G153" s="36"/>
      <c r="H153" s="13">
        <f t="shared" si="7"/>
        <v>0</v>
      </c>
      <c r="I153" s="12"/>
      <c r="J153" s="14">
        <f t="shared" si="6"/>
        <v>0</v>
      </c>
      <c r="L153" s="34">
        <f t="shared" si="8"/>
        <v>0</v>
      </c>
    </row>
    <row r="154" spans="1:12" ht="15.75" x14ac:dyDescent="0.25">
      <c r="B154" s="20"/>
      <c r="C154" s="21" t="s">
        <v>108</v>
      </c>
      <c r="D154" s="11"/>
      <c r="E154" s="36"/>
      <c r="F154" s="36"/>
      <c r="G154" s="36"/>
      <c r="H154" s="13">
        <f t="shared" si="7"/>
        <v>0</v>
      </c>
      <c r="I154" s="12"/>
      <c r="J154" s="14">
        <f t="shared" si="6"/>
        <v>0</v>
      </c>
      <c r="L154" s="34">
        <f t="shared" si="8"/>
        <v>0</v>
      </c>
    </row>
    <row r="155" spans="1:12" ht="15.75" x14ac:dyDescent="0.25">
      <c r="A155">
        <v>699952</v>
      </c>
      <c r="B155" s="20"/>
      <c r="C155" s="21" t="s">
        <v>109</v>
      </c>
      <c r="D155" s="11"/>
      <c r="E155" s="36"/>
      <c r="F155" s="36"/>
      <c r="G155" s="36"/>
      <c r="H155" s="13">
        <f t="shared" si="7"/>
        <v>0</v>
      </c>
      <c r="I155" s="12"/>
      <c r="J155" s="14">
        <f t="shared" si="6"/>
        <v>0</v>
      </c>
      <c r="L155" s="34">
        <f t="shared" si="8"/>
        <v>0</v>
      </c>
    </row>
    <row r="156" spans="1:12" ht="15.75" x14ac:dyDescent="0.25">
      <c r="A156">
        <v>501020</v>
      </c>
      <c r="B156" s="24">
        <v>360</v>
      </c>
      <c r="C156" s="21" t="s">
        <v>110</v>
      </c>
      <c r="D156" s="11"/>
      <c r="E156" s="36">
        <v>3</v>
      </c>
      <c r="F156" s="36">
        <v>7</v>
      </c>
      <c r="G156" s="36">
        <v>8</v>
      </c>
      <c r="H156" s="13">
        <f t="shared" si="7"/>
        <v>18</v>
      </c>
      <c r="I156" s="12"/>
      <c r="J156" s="14">
        <f t="shared" si="6"/>
        <v>18</v>
      </c>
      <c r="K156">
        <v>18</v>
      </c>
      <c r="L156" s="34">
        <f t="shared" si="8"/>
        <v>0</v>
      </c>
    </row>
    <row r="157" spans="1:12" ht="15.75" x14ac:dyDescent="0.25">
      <c r="A157">
        <v>501505</v>
      </c>
      <c r="B157" s="24">
        <v>360</v>
      </c>
      <c r="C157" s="21" t="s">
        <v>17</v>
      </c>
      <c r="D157" s="11"/>
      <c r="E157" s="36"/>
      <c r="F157" s="36"/>
      <c r="G157" s="36"/>
      <c r="H157" s="13">
        <f t="shared" si="7"/>
        <v>0</v>
      </c>
      <c r="I157" s="12"/>
      <c r="J157" s="14">
        <f t="shared" si="6"/>
        <v>0</v>
      </c>
      <c r="L157" s="34">
        <f t="shared" si="8"/>
        <v>0</v>
      </c>
    </row>
    <row r="158" spans="1:12" ht="15.75" x14ac:dyDescent="0.25">
      <c r="B158" s="20">
        <v>250</v>
      </c>
      <c r="C158" s="21" t="s">
        <v>111</v>
      </c>
      <c r="D158" s="11"/>
      <c r="E158" s="36"/>
      <c r="F158" s="36"/>
      <c r="G158" s="36"/>
      <c r="H158" s="13">
        <f t="shared" si="7"/>
        <v>0</v>
      </c>
      <c r="I158" s="12"/>
      <c r="J158" s="14">
        <f t="shared" si="6"/>
        <v>0</v>
      </c>
      <c r="L158" s="34">
        <f t="shared" si="8"/>
        <v>0</v>
      </c>
    </row>
    <row r="159" spans="1:12" ht="15.75" x14ac:dyDescent="0.25">
      <c r="B159" s="20">
        <v>250</v>
      </c>
      <c r="C159" s="21" t="s">
        <v>112</v>
      </c>
      <c r="D159" s="11"/>
      <c r="E159" s="36"/>
      <c r="F159" s="36"/>
      <c r="G159" s="36"/>
      <c r="H159" s="13">
        <f t="shared" si="7"/>
        <v>0</v>
      </c>
      <c r="I159" s="12"/>
      <c r="J159" s="14">
        <f t="shared" si="6"/>
        <v>0</v>
      </c>
      <c r="L159" s="34">
        <f t="shared" si="8"/>
        <v>0</v>
      </c>
    </row>
    <row r="160" spans="1:12" ht="15.75" x14ac:dyDescent="0.25">
      <c r="A160">
        <v>501207</v>
      </c>
      <c r="B160" s="20">
        <v>360</v>
      </c>
      <c r="C160" s="21" t="s">
        <v>113</v>
      </c>
      <c r="D160" s="11"/>
      <c r="E160" s="36"/>
      <c r="F160" s="36"/>
      <c r="G160" s="36"/>
      <c r="H160" s="13">
        <f t="shared" si="7"/>
        <v>0</v>
      </c>
      <c r="I160" s="12"/>
      <c r="J160" s="14">
        <f t="shared" si="6"/>
        <v>0</v>
      </c>
      <c r="L160" s="34">
        <f t="shared" si="8"/>
        <v>0</v>
      </c>
    </row>
    <row r="161" spans="1:12" ht="15.75" x14ac:dyDescent="0.25">
      <c r="A161">
        <v>599858</v>
      </c>
      <c r="B161" s="22"/>
      <c r="C161" s="23" t="s">
        <v>114</v>
      </c>
      <c r="D161" s="11"/>
      <c r="E161" s="36"/>
      <c r="F161" s="36"/>
      <c r="G161" s="36"/>
      <c r="H161" s="13">
        <f t="shared" si="7"/>
        <v>0</v>
      </c>
      <c r="I161" s="12"/>
      <c r="J161" s="14">
        <f t="shared" si="6"/>
        <v>0</v>
      </c>
      <c r="L161" s="34">
        <f t="shared" si="8"/>
        <v>0</v>
      </c>
    </row>
    <row r="162" spans="1:12" ht="15.75" x14ac:dyDescent="0.25">
      <c r="A162">
        <v>599857</v>
      </c>
      <c r="B162" s="22"/>
      <c r="C162" s="23" t="s">
        <v>115</v>
      </c>
      <c r="D162" s="11"/>
      <c r="E162" s="36"/>
      <c r="F162" s="36"/>
      <c r="G162" s="36"/>
      <c r="H162" s="13">
        <f t="shared" si="7"/>
        <v>0</v>
      </c>
      <c r="I162" s="12"/>
      <c r="J162" s="14">
        <f t="shared" si="6"/>
        <v>0</v>
      </c>
      <c r="L162" s="34">
        <f t="shared" si="8"/>
        <v>0</v>
      </c>
    </row>
    <row r="163" spans="1:12" ht="15.75" x14ac:dyDescent="0.25">
      <c r="A163">
        <v>621972</v>
      </c>
      <c r="B163" s="20"/>
      <c r="C163" s="21" t="s">
        <v>116</v>
      </c>
      <c r="D163" s="11"/>
      <c r="E163" s="36"/>
      <c r="F163" s="36"/>
      <c r="G163" s="36"/>
      <c r="H163" s="13">
        <f t="shared" si="7"/>
        <v>0</v>
      </c>
      <c r="I163" s="12"/>
      <c r="J163" s="14">
        <f t="shared" si="6"/>
        <v>0</v>
      </c>
      <c r="L163" s="34">
        <f t="shared" si="8"/>
        <v>0</v>
      </c>
    </row>
    <row r="164" spans="1:12" ht="15.75" x14ac:dyDescent="0.25">
      <c r="A164">
        <v>622165</v>
      </c>
      <c r="B164" s="20"/>
      <c r="C164" s="21" t="s">
        <v>117</v>
      </c>
      <c r="D164" s="11"/>
      <c r="E164" s="36">
        <v>1</v>
      </c>
      <c r="F164" s="36"/>
      <c r="G164" s="36"/>
      <c r="H164" s="13">
        <f t="shared" si="7"/>
        <v>1</v>
      </c>
      <c r="I164" s="12"/>
      <c r="J164" s="14">
        <f t="shared" si="6"/>
        <v>1</v>
      </c>
      <c r="K164">
        <v>1</v>
      </c>
      <c r="L164" s="34">
        <f t="shared" si="8"/>
        <v>0</v>
      </c>
    </row>
    <row r="165" spans="1:12" ht="15.75" x14ac:dyDescent="0.25">
      <c r="B165" s="20">
        <v>300</v>
      </c>
      <c r="C165" s="21" t="s">
        <v>104</v>
      </c>
      <c r="D165" s="11"/>
      <c r="E165" s="36"/>
      <c r="F165" s="36"/>
      <c r="G165" s="36"/>
      <c r="H165" s="13">
        <f t="shared" si="7"/>
        <v>0</v>
      </c>
      <c r="I165" s="12"/>
      <c r="J165" s="14">
        <f t="shared" si="6"/>
        <v>0</v>
      </c>
      <c r="L165" s="34">
        <f t="shared" si="8"/>
        <v>0</v>
      </c>
    </row>
    <row r="166" spans="1:12" ht="15.75" x14ac:dyDescent="0.25">
      <c r="A166">
        <v>622164</v>
      </c>
      <c r="B166" s="20"/>
      <c r="C166" s="21" t="s">
        <v>118</v>
      </c>
      <c r="D166" s="11"/>
      <c r="E166" s="36"/>
      <c r="F166" s="36"/>
      <c r="G166" s="36"/>
      <c r="H166" s="13">
        <f t="shared" si="7"/>
        <v>0</v>
      </c>
      <c r="I166" s="12"/>
      <c r="J166" s="14">
        <f t="shared" si="6"/>
        <v>0</v>
      </c>
      <c r="L166" s="34">
        <f t="shared" si="8"/>
        <v>0</v>
      </c>
    </row>
    <row r="167" spans="1:12" ht="15.75" x14ac:dyDescent="0.25">
      <c r="A167">
        <v>621967</v>
      </c>
      <c r="B167" s="20"/>
      <c r="C167" s="21" t="s">
        <v>118</v>
      </c>
      <c r="D167" s="11"/>
      <c r="E167" s="36">
        <v>1</v>
      </c>
      <c r="F167" s="36"/>
      <c r="G167" s="36">
        <v>1</v>
      </c>
      <c r="H167" s="13">
        <f t="shared" si="7"/>
        <v>2</v>
      </c>
      <c r="I167" s="12"/>
      <c r="J167" s="14">
        <f t="shared" si="6"/>
        <v>2</v>
      </c>
      <c r="K167">
        <v>2</v>
      </c>
      <c r="L167" s="34">
        <f t="shared" si="8"/>
        <v>0</v>
      </c>
    </row>
    <row r="168" spans="1:12" ht="15.75" x14ac:dyDescent="0.25">
      <c r="A168">
        <v>500032</v>
      </c>
      <c r="B168" s="24">
        <v>360</v>
      </c>
      <c r="C168" s="21" t="s">
        <v>104</v>
      </c>
      <c r="D168" s="11">
        <v>81</v>
      </c>
      <c r="E168" s="36">
        <v>12</v>
      </c>
      <c r="F168" s="36">
        <v>10</v>
      </c>
      <c r="G168" s="36">
        <v>23</v>
      </c>
      <c r="H168" s="13">
        <f t="shared" si="7"/>
        <v>126</v>
      </c>
      <c r="I168" s="12"/>
      <c r="J168" s="14">
        <f t="shared" si="6"/>
        <v>126</v>
      </c>
      <c r="K168">
        <v>126</v>
      </c>
      <c r="L168" s="34">
        <f t="shared" si="8"/>
        <v>0</v>
      </c>
    </row>
    <row r="169" spans="1:12" ht="15.75" x14ac:dyDescent="0.25">
      <c r="A169">
        <v>522459</v>
      </c>
      <c r="B169" s="24">
        <v>360</v>
      </c>
      <c r="C169" s="21" t="s">
        <v>119</v>
      </c>
      <c r="D169" s="11">
        <v>15</v>
      </c>
      <c r="E169" s="36">
        <v>15</v>
      </c>
      <c r="F169" s="36">
        <v>17</v>
      </c>
      <c r="G169" s="36"/>
      <c r="H169" s="13">
        <f t="shared" si="7"/>
        <v>47</v>
      </c>
      <c r="I169" s="12"/>
      <c r="J169" s="14">
        <f t="shared" si="6"/>
        <v>47</v>
      </c>
      <c r="K169">
        <v>47</v>
      </c>
      <c r="L169" s="34">
        <f t="shared" si="8"/>
        <v>0</v>
      </c>
    </row>
    <row r="170" spans="1:12" ht="15.75" x14ac:dyDescent="0.25">
      <c r="A170">
        <v>522451</v>
      </c>
      <c r="B170" s="24">
        <v>360</v>
      </c>
      <c r="C170" s="21" t="s">
        <v>120</v>
      </c>
      <c r="D170" s="11"/>
      <c r="E170" s="36">
        <v>10</v>
      </c>
      <c r="F170" s="36">
        <v>9</v>
      </c>
      <c r="G170" s="36">
        <v>4</v>
      </c>
      <c r="H170" s="13">
        <f t="shared" si="7"/>
        <v>23</v>
      </c>
      <c r="I170" s="12"/>
      <c r="J170" s="14">
        <f t="shared" si="6"/>
        <v>23</v>
      </c>
      <c r="K170">
        <v>23</v>
      </c>
      <c r="L170" s="34">
        <f t="shared" si="8"/>
        <v>0</v>
      </c>
    </row>
    <row r="171" spans="1:12" ht="15.75" x14ac:dyDescent="0.25">
      <c r="A171">
        <v>522450</v>
      </c>
      <c r="B171" s="24">
        <v>360</v>
      </c>
      <c r="C171" s="21" t="s">
        <v>121</v>
      </c>
      <c r="D171" s="11">
        <v>103</v>
      </c>
      <c r="E171" s="36">
        <v>6</v>
      </c>
      <c r="F171" s="36">
        <v>5</v>
      </c>
      <c r="G171" s="36">
        <v>5</v>
      </c>
      <c r="H171" s="13">
        <f t="shared" si="7"/>
        <v>119</v>
      </c>
      <c r="I171" s="12"/>
      <c r="J171" s="14">
        <f t="shared" si="6"/>
        <v>119</v>
      </c>
      <c r="K171">
        <v>119</v>
      </c>
      <c r="L171" s="34">
        <f t="shared" si="8"/>
        <v>0</v>
      </c>
    </row>
    <row r="172" spans="1:12" ht="15.75" x14ac:dyDescent="0.25">
      <c r="A172">
        <v>522461</v>
      </c>
      <c r="B172" s="20">
        <v>360</v>
      </c>
      <c r="C172" s="21" t="s">
        <v>122</v>
      </c>
      <c r="D172" s="11"/>
      <c r="E172" s="36"/>
      <c r="F172" s="36"/>
      <c r="G172" s="36">
        <v>0</v>
      </c>
      <c r="H172" s="13">
        <f t="shared" si="7"/>
        <v>0</v>
      </c>
      <c r="I172" s="12"/>
      <c r="J172" s="14">
        <f t="shared" si="6"/>
        <v>0</v>
      </c>
      <c r="L172" s="34">
        <f t="shared" si="8"/>
        <v>0</v>
      </c>
    </row>
    <row r="173" spans="1:12" ht="15.75" x14ac:dyDescent="0.25">
      <c r="A173">
        <v>522463</v>
      </c>
      <c r="B173" s="20">
        <v>360</v>
      </c>
      <c r="C173" s="21" t="s">
        <v>123</v>
      </c>
      <c r="D173" s="11"/>
      <c r="E173" s="36"/>
      <c r="F173" s="36"/>
      <c r="G173" s="36">
        <v>0</v>
      </c>
      <c r="H173" s="13">
        <f t="shared" si="7"/>
        <v>0</v>
      </c>
      <c r="I173" s="12"/>
      <c r="J173" s="14">
        <f t="shared" si="6"/>
        <v>0</v>
      </c>
      <c r="L173" s="34">
        <f t="shared" si="8"/>
        <v>0</v>
      </c>
    </row>
    <row r="174" spans="1:12" ht="15.75" x14ac:dyDescent="0.25">
      <c r="A174">
        <v>522462</v>
      </c>
      <c r="B174" s="22">
        <v>360</v>
      </c>
      <c r="C174" s="23" t="s">
        <v>124</v>
      </c>
      <c r="D174" s="11"/>
      <c r="E174" s="36"/>
      <c r="F174" s="36"/>
      <c r="G174" s="36">
        <v>0</v>
      </c>
      <c r="H174" s="13">
        <f t="shared" si="7"/>
        <v>0</v>
      </c>
      <c r="I174" s="12"/>
      <c r="J174" s="14">
        <f t="shared" si="6"/>
        <v>0</v>
      </c>
      <c r="L174" s="34">
        <f t="shared" si="8"/>
        <v>0</v>
      </c>
    </row>
    <row r="175" spans="1:12" ht="15.75" x14ac:dyDescent="0.25">
      <c r="A175">
        <v>522460</v>
      </c>
      <c r="B175" s="22">
        <v>360</v>
      </c>
      <c r="C175" s="23" t="s">
        <v>125</v>
      </c>
      <c r="D175" s="11"/>
      <c r="E175" s="36"/>
      <c r="F175" s="36"/>
      <c r="G175" s="36">
        <v>0</v>
      </c>
      <c r="H175" s="13">
        <f t="shared" si="7"/>
        <v>0</v>
      </c>
      <c r="I175" s="12"/>
      <c r="J175" s="14">
        <f t="shared" si="6"/>
        <v>0</v>
      </c>
      <c r="L175" s="34">
        <f t="shared" si="8"/>
        <v>0</v>
      </c>
    </row>
    <row r="176" spans="1:12" ht="15.75" x14ac:dyDescent="0.25">
      <c r="A176">
        <v>522921</v>
      </c>
      <c r="B176" s="20">
        <v>600</v>
      </c>
      <c r="C176" s="21" t="s">
        <v>126</v>
      </c>
      <c r="D176" s="11"/>
      <c r="E176" s="36"/>
      <c r="F176" s="36"/>
      <c r="G176" s="36">
        <v>0</v>
      </c>
      <c r="H176" s="13">
        <f t="shared" si="7"/>
        <v>0</v>
      </c>
      <c r="I176" s="12"/>
      <c r="J176" s="14">
        <f t="shared" si="6"/>
        <v>0</v>
      </c>
      <c r="L176" s="34">
        <f t="shared" si="8"/>
        <v>0</v>
      </c>
    </row>
    <row r="177" spans="1:12" ht="15.75" x14ac:dyDescent="0.25">
      <c r="A177">
        <v>522906</v>
      </c>
      <c r="B177" s="24">
        <v>600</v>
      </c>
      <c r="C177" s="21" t="s">
        <v>121</v>
      </c>
      <c r="D177" s="11"/>
      <c r="E177" s="36"/>
      <c r="F177" s="36"/>
      <c r="G177" s="36">
        <v>0</v>
      </c>
      <c r="H177" s="13">
        <f t="shared" si="7"/>
        <v>0</v>
      </c>
      <c r="I177" s="12"/>
      <c r="J177" s="14">
        <f t="shared" si="6"/>
        <v>0</v>
      </c>
      <c r="L177" s="34">
        <f t="shared" si="8"/>
        <v>0</v>
      </c>
    </row>
    <row r="178" spans="1:12" ht="15.75" x14ac:dyDescent="0.25">
      <c r="A178">
        <v>522907</v>
      </c>
      <c r="B178" s="24">
        <v>600</v>
      </c>
      <c r="C178" s="21" t="s">
        <v>120</v>
      </c>
      <c r="D178" s="11"/>
      <c r="E178" s="36"/>
      <c r="F178" s="36"/>
      <c r="G178" s="36">
        <v>0</v>
      </c>
      <c r="H178" s="13">
        <f t="shared" si="7"/>
        <v>0</v>
      </c>
      <c r="I178" s="12"/>
      <c r="J178" s="14">
        <f t="shared" si="6"/>
        <v>0</v>
      </c>
      <c r="L178" s="34">
        <f t="shared" si="8"/>
        <v>0</v>
      </c>
    </row>
    <row r="179" spans="1:12" ht="15.75" x14ac:dyDescent="0.25">
      <c r="A179">
        <v>522499</v>
      </c>
      <c r="B179" s="20">
        <v>625</v>
      </c>
      <c r="C179" s="21" t="s">
        <v>14</v>
      </c>
      <c r="D179" s="11"/>
      <c r="E179" s="36"/>
      <c r="F179" s="36"/>
      <c r="G179" s="36">
        <v>0</v>
      </c>
      <c r="H179" s="13">
        <f t="shared" si="7"/>
        <v>0</v>
      </c>
      <c r="I179" s="12"/>
      <c r="J179" s="14">
        <f t="shared" si="6"/>
        <v>0</v>
      </c>
      <c r="L179" s="34">
        <f t="shared" si="8"/>
        <v>0</v>
      </c>
    </row>
    <row r="180" spans="1:12" ht="15.75" x14ac:dyDescent="0.25">
      <c r="A180">
        <v>522496</v>
      </c>
      <c r="B180" s="20">
        <v>625</v>
      </c>
      <c r="C180" s="21" t="s">
        <v>127</v>
      </c>
      <c r="D180" s="11"/>
      <c r="E180" s="36"/>
      <c r="F180" s="36"/>
      <c r="G180" s="36">
        <v>0</v>
      </c>
      <c r="H180" s="13">
        <f t="shared" si="7"/>
        <v>0</v>
      </c>
      <c r="I180" s="12"/>
      <c r="J180" s="14">
        <f t="shared" si="6"/>
        <v>0</v>
      </c>
      <c r="L180" s="34">
        <f t="shared" si="8"/>
        <v>0</v>
      </c>
    </row>
    <row r="181" spans="1:12" ht="15.75" x14ac:dyDescent="0.25">
      <c r="A181">
        <v>522498</v>
      </c>
      <c r="B181" s="20">
        <v>625</v>
      </c>
      <c r="C181" s="21" t="s">
        <v>128</v>
      </c>
      <c r="D181" s="11"/>
      <c r="E181" s="36"/>
      <c r="F181" s="36"/>
      <c r="G181" s="36">
        <v>0</v>
      </c>
      <c r="H181" s="13">
        <f t="shared" si="7"/>
        <v>0</v>
      </c>
      <c r="I181" s="12"/>
      <c r="J181" s="14">
        <f t="shared" si="6"/>
        <v>0</v>
      </c>
      <c r="L181" s="34">
        <f t="shared" si="8"/>
        <v>0</v>
      </c>
    </row>
    <row r="182" spans="1:12" ht="15.75" x14ac:dyDescent="0.25">
      <c r="A182">
        <v>522497</v>
      </c>
      <c r="B182" s="20">
        <v>625</v>
      </c>
      <c r="C182" s="21" t="s">
        <v>129</v>
      </c>
      <c r="D182" s="11"/>
      <c r="E182" s="36"/>
      <c r="F182" s="36"/>
      <c r="G182" s="36">
        <v>0</v>
      </c>
      <c r="H182" s="13">
        <f t="shared" si="7"/>
        <v>0</v>
      </c>
      <c r="I182" s="12"/>
      <c r="J182" s="14">
        <f t="shared" si="6"/>
        <v>0</v>
      </c>
      <c r="L182" s="34">
        <f t="shared" si="8"/>
        <v>0</v>
      </c>
    </row>
    <row r="183" spans="1:12" ht="15.75" x14ac:dyDescent="0.25">
      <c r="A183">
        <v>523188</v>
      </c>
      <c r="B183" s="20"/>
      <c r="C183" s="21" t="s">
        <v>130</v>
      </c>
      <c r="D183" s="11"/>
      <c r="E183" s="36"/>
      <c r="F183" s="36"/>
      <c r="G183" s="36">
        <v>0</v>
      </c>
      <c r="H183" s="13">
        <f t="shared" si="7"/>
        <v>0</v>
      </c>
      <c r="I183" s="12"/>
      <c r="J183" s="14">
        <f t="shared" si="6"/>
        <v>0</v>
      </c>
      <c r="L183" s="34">
        <f t="shared" si="8"/>
        <v>0</v>
      </c>
    </row>
    <row r="184" spans="1:12" ht="16.5" thickBot="1" x14ac:dyDescent="0.3">
      <c r="B184" s="25"/>
      <c r="C184" s="26"/>
      <c r="D184" s="27"/>
      <c r="E184" s="28"/>
      <c r="F184" s="29"/>
      <c r="G184" s="28"/>
      <c r="H184" s="30"/>
      <c r="I184" s="28"/>
      <c r="J184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workbookViewId="0">
      <selection activeCell="D1" sqref="D1: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7.5703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10.140625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4" t="s">
        <v>132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/>
      <c r="G2" s="36"/>
      <c r="H2" s="36"/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D2*I2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/>
      <c r="G3" s="36"/>
      <c r="H3" s="36"/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D3*I3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>
        <v>14</v>
      </c>
      <c r="F4" s="36">
        <v>3</v>
      </c>
      <c r="G4" s="36">
        <v>2</v>
      </c>
      <c r="H4" s="36"/>
      <c r="I4" s="13">
        <f t="shared" si="0"/>
        <v>19</v>
      </c>
      <c r="J4" s="12"/>
      <c r="K4" s="14">
        <f t="shared" si="1"/>
        <v>19</v>
      </c>
      <c r="L4">
        <v>19</v>
      </c>
      <c r="M4" s="34">
        <f t="shared" si="2"/>
        <v>0</v>
      </c>
      <c r="N4" s="43">
        <f t="shared" si="3"/>
        <v>1064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>
        <v>16</v>
      </c>
      <c r="F5" s="36"/>
      <c r="G5" s="36">
        <v>1</v>
      </c>
      <c r="H5" s="36">
        <v>2</v>
      </c>
      <c r="I5" s="13">
        <f t="shared" si="0"/>
        <v>19</v>
      </c>
      <c r="J5" s="12"/>
      <c r="K5" s="14">
        <f t="shared" si="1"/>
        <v>19</v>
      </c>
      <c r="L5">
        <v>19</v>
      </c>
      <c r="M5" s="34">
        <f t="shared" si="2"/>
        <v>0</v>
      </c>
      <c r="N5" s="43">
        <f t="shared" si="3"/>
        <v>1064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131</v>
      </c>
      <c r="F6" s="36">
        <v>19</v>
      </c>
      <c r="G6" s="36">
        <v>17</v>
      </c>
      <c r="H6" s="36">
        <v>11</v>
      </c>
      <c r="I6" s="13">
        <f t="shared" si="0"/>
        <v>178</v>
      </c>
      <c r="J6" s="12"/>
      <c r="K6" s="14">
        <f t="shared" si="1"/>
        <v>178</v>
      </c>
      <c r="L6">
        <v>178</v>
      </c>
      <c r="M6" s="34">
        <f t="shared" si="2"/>
        <v>0</v>
      </c>
      <c r="N6" s="43">
        <f t="shared" si="3"/>
        <v>10858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>
        <v>13</v>
      </c>
      <c r="F7" s="36"/>
      <c r="G7" s="36">
        <v>4</v>
      </c>
      <c r="H7" s="36">
        <v>5</v>
      </c>
      <c r="I7" s="13">
        <f t="shared" si="0"/>
        <v>22</v>
      </c>
      <c r="J7" s="12"/>
      <c r="K7" s="14">
        <f t="shared" si="1"/>
        <v>22</v>
      </c>
      <c r="L7">
        <v>22</v>
      </c>
      <c r="M7" s="34">
        <f t="shared" si="2"/>
        <v>0</v>
      </c>
      <c r="N7" s="43">
        <f t="shared" si="3"/>
        <v>1342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/>
      <c r="F8" s="36"/>
      <c r="G8" s="36"/>
      <c r="H8" s="36"/>
      <c r="I8" s="13">
        <f t="shared" si="0"/>
        <v>0</v>
      </c>
      <c r="J8" s="12"/>
      <c r="K8" s="14">
        <f t="shared" si="1"/>
        <v>0</v>
      </c>
      <c r="M8" s="34">
        <f t="shared" si="2"/>
        <v>0</v>
      </c>
      <c r="N8" s="43">
        <f t="shared" si="3"/>
        <v>0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/>
      <c r="F9" s="36"/>
      <c r="G9" s="36"/>
      <c r="H9" s="36"/>
      <c r="I9" s="13">
        <f t="shared" si="0"/>
        <v>0</v>
      </c>
      <c r="J9" s="12"/>
      <c r="K9" s="14">
        <f t="shared" si="1"/>
        <v>0</v>
      </c>
      <c r="M9" s="34">
        <f t="shared" si="2"/>
        <v>0</v>
      </c>
      <c r="N9" s="43">
        <f t="shared" si="3"/>
        <v>0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/>
      <c r="G10" s="36"/>
      <c r="H10" s="36"/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/>
      <c r="G11" s="36"/>
      <c r="H11" s="36"/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/>
      <c r="G12" s="36"/>
      <c r="H12" s="36"/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/>
      <c r="G13" s="36"/>
      <c r="H13" s="36"/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/>
      <c r="G14" s="36"/>
      <c r="H14" s="36"/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" customHeight="1" x14ac:dyDescent="0.25">
      <c r="B15" s="9">
        <v>1800</v>
      </c>
      <c r="C15" s="10" t="s">
        <v>21</v>
      </c>
      <c r="D15" s="40">
        <v>38</v>
      </c>
      <c r="E15" s="11"/>
      <c r="F15" s="36"/>
      <c r="G15" s="36"/>
      <c r="H15" s="36"/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/>
      <c r="F16" s="36">
        <v>9</v>
      </c>
      <c r="G16" s="36">
        <v>3</v>
      </c>
      <c r="H16" s="36">
        <v>7</v>
      </c>
      <c r="I16" s="13">
        <f t="shared" si="0"/>
        <v>19</v>
      </c>
      <c r="J16" s="12"/>
      <c r="K16" s="14">
        <f t="shared" si="1"/>
        <v>19</v>
      </c>
      <c r="L16">
        <v>19</v>
      </c>
      <c r="M16" s="34">
        <f t="shared" si="2"/>
        <v>0</v>
      </c>
      <c r="N16" s="43">
        <f t="shared" si="3"/>
        <v>779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/>
      <c r="G17" s="36"/>
      <c r="H17" s="36"/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/>
      <c r="G18" s="36"/>
      <c r="H18" s="36"/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/>
      <c r="F19" s="36">
        <v>7</v>
      </c>
      <c r="G19" s="36">
        <v>1</v>
      </c>
      <c r="H19" s="36"/>
      <c r="I19" s="13">
        <f t="shared" si="0"/>
        <v>8</v>
      </c>
      <c r="J19" s="12"/>
      <c r="K19" s="14">
        <f t="shared" si="1"/>
        <v>8</v>
      </c>
      <c r="L19">
        <v>8</v>
      </c>
      <c r="M19" s="34">
        <f t="shared" si="2"/>
        <v>0</v>
      </c>
      <c r="N19" s="43">
        <f t="shared" si="3"/>
        <v>328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/>
      <c r="F20" s="36"/>
      <c r="G20" s="36"/>
      <c r="H20" s="36"/>
      <c r="I20" s="13">
        <f t="shared" si="0"/>
        <v>0</v>
      </c>
      <c r="J20" s="12"/>
      <c r="K20" s="14">
        <f t="shared" si="1"/>
        <v>0</v>
      </c>
      <c r="M20" s="34">
        <f t="shared" si="2"/>
        <v>0</v>
      </c>
      <c r="N20" s="43">
        <f t="shared" si="3"/>
        <v>0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/>
      <c r="G21" s="36"/>
      <c r="H21" s="36"/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/>
      <c r="G22" s="36"/>
      <c r="H22" s="36"/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/>
      <c r="G23" s="36"/>
      <c r="H23" s="36"/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50</v>
      </c>
      <c r="F24" s="36">
        <v>9</v>
      </c>
      <c r="G24" s="36">
        <v>5</v>
      </c>
      <c r="H24" s="36">
        <v>3</v>
      </c>
      <c r="I24" s="13">
        <f t="shared" si="0"/>
        <v>67</v>
      </c>
      <c r="J24" s="12"/>
      <c r="K24" s="14">
        <f t="shared" si="1"/>
        <v>67</v>
      </c>
      <c r="L24">
        <v>67</v>
      </c>
      <c r="M24" s="34">
        <f t="shared" si="2"/>
        <v>0</v>
      </c>
      <c r="N24" s="43">
        <f t="shared" si="3"/>
        <v>2345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/>
      <c r="G25" s="36"/>
      <c r="H25" s="36"/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/>
      <c r="G26" s="36"/>
      <c r="H26" s="36"/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>
        <v>62</v>
      </c>
      <c r="F27" s="36">
        <v>4</v>
      </c>
      <c r="G27" s="36">
        <v>4</v>
      </c>
      <c r="H27" s="36">
        <v>7</v>
      </c>
      <c r="I27" s="13">
        <f t="shared" si="0"/>
        <v>77</v>
      </c>
      <c r="J27" s="12"/>
      <c r="K27" s="14">
        <f t="shared" si="1"/>
        <v>77</v>
      </c>
      <c r="L27">
        <v>77</v>
      </c>
      <c r="M27" s="34">
        <f t="shared" si="2"/>
        <v>0</v>
      </c>
      <c r="N27" s="43">
        <f t="shared" si="3"/>
        <v>3426.5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/>
      <c r="G28" s="36"/>
      <c r="H28" s="36"/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/>
      <c r="G29" s="36"/>
      <c r="H29" s="36"/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/>
      <c r="G30" s="36"/>
      <c r="H30" s="36"/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/>
      <c r="G31" s="36"/>
      <c r="H31" s="36"/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/>
      <c r="G32" s="36"/>
      <c r="H32" s="36"/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/>
      <c r="F33" s="36"/>
      <c r="G33" s="36"/>
      <c r="H33" s="36"/>
      <c r="I33" s="13">
        <f t="shared" si="0"/>
        <v>0</v>
      </c>
      <c r="J33" s="12"/>
      <c r="K33" s="14">
        <f t="shared" si="1"/>
        <v>0</v>
      </c>
      <c r="M33" s="34">
        <f t="shared" si="2"/>
        <v>0</v>
      </c>
      <c r="N33" s="43">
        <f t="shared" si="3"/>
        <v>0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>
        <v>2</v>
      </c>
      <c r="G34" s="36"/>
      <c r="H34" s="36"/>
      <c r="I34" s="13">
        <f t="shared" si="0"/>
        <v>2</v>
      </c>
      <c r="J34" s="12"/>
      <c r="K34" s="14">
        <f t="shared" si="1"/>
        <v>2</v>
      </c>
      <c r="L34">
        <v>2</v>
      </c>
      <c r="M34" s="34">
        <f t="shared" si="2"/>
        <v>0</v>
      </c>
      <c r="N34" s="43">
        <f t="shared" si="3"/>
        <v>47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/>
      <c r="G35" s="36"/>
      <c r="H35" s="36"/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>
        <v>1</v>
      </c>
      <c r="F36" s="36"/>
      <c r="G36" s="36"/>
      <c r="H36" s="36"/>
      <c r="I36" s="13">
        <f t="shared" si="0"/>
        <v>1</v>
      </c>
      <c r="J36" s="12"/>
      <c r="K36" s="14">
        <f t="shared" si="1"/>
        <v>1</v>
      </c>
      <c r="L36">
        <v>1</v>
      </c>
      <c r="M36" s="34">
        <f t="shared" si="2"/>
        <v>0</v>
      </c>
      <c r="N36" s="43">
        <f t="shared" si="3"/>
        <v>25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>
        <v>57</v>
      </c>
      <c r="F37" s="36">
        <v>24</v>
      </c>
      <c r="G37" s="36"/>
      <c r="H37" s="36">
        <v>7</v>
      </c>
      <c r="I37" s="13">
        <f t="shared" si="0"/>
        <v>88</v>
      </c>
      <c r="J37" s="12"/>
      <c r="K37" s="14">
        <f t="shared" si="1"/>
        <v>88</v>
      </c>
      <c r="L37">
        <v>88</v>
      </c>
      <c r="M37" s="34">
        <f t="shared" si="2"/>
        <v>0</v>
      </c>
      <c r="N37" s="43">
        <f t="shared" si="3"/>
        <v>2200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/>
      <c r="G38" s="36"/>
      <c r="H38" s="36"/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/>
      <c r="G39" s="36"/>
      <c r="H39" s="36"/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/>
      <c r="G40" s="36"/>
      <c r="H40" s="36"/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/>
      <c r="G41" s="36"/>
      <c r="H41" s="36"/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/>
      <c r="G42" s="36"/>
      <c r="H42" s="36"/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/>
      <c r="F43" s="36">
        <v>3</v>
      </c>
      <c r="G43" s="36">
        <v>8</v>
      </c>
      <c r="H43" s="36"/>
      <c r="I43" s="13">
        <f t="shared" si="0"/>
        <v>11</v>
      </c>
      <c r="J43" s="12"/>
      <c r="K43" s="14">
        <f t="shared" si="1"/>
        <v>11</v>
      </c>
      <c r="L43">
        <v>11</v>
      </c>
      <c r="M43" s="34">
        <f t="shared" si="2"/>
        <v>0</v>
      </c>
      <c r="N43" s="43">
        <f t="shared" si="3"/>
        <v>330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/>
      <c r="G44" s="36"/>
      <c r="H44" s="36"/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/>
      <c r="G45" s="36"/>
      <c r="H45" s="36"/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/>
      <c r="G46" s="36"/>
      <c r="H46" s="36"/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/>
      <c r="G47" s="36"/>
      <c r="H47" s="36"/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/>
      <c r="G48" s="36"/>
      <c r="H48" s="36"/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/>
      <c r="G49" s="36"/>
      <c r="H49" s="36"/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/>
      <c r="G50" s="36"/>
      <c r="H50" s="36"/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26</v>
      </c>
      <c r="F51" s="36">
        <v>3</v>
      </c>
      <c r="G51" s="36">
        <v>3</v>
      </c>
      <c r="H51" s="36">
        <v>3</v>
      </c>
      <c r="I51" s="13">
        <f t="shared" si="0"/>
        <v>35</v>
      </c>
      <c r="J51" s="12"/>
      <c r="K51" s="14">
        <f t="shared" si="1"/>
        <v>35</v>
      </c>
      <c r="L51">
        <v>35</v>
      </c>
      <c r="M51" s="34">
        <f t="shared" si="2"/>
        <v>0</v>
      </c>
      <c r="N51" s="43">
        <f t="shared" si="3"/>
        <v>1050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/>
      <c r="G52" s="36"/>
      <c r="H52" s="36"/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/>
      <c r="F53" s="36"/>
      <c r="G53" s="36"/>
      <c r="H53" s="36"/>
      <c r="I53" s="13">
        <f t="shared" si="0"/>
        <v>0</v>
      </c>
      <c r="J53" s="12"/>
      <c r="K53" s="14">
        <f>I53-J53</f>
        <v>0</v>
      </c>
      <c r="M53" s="34">
        <f t="shared" si="2"/>
        <v>0</v>
      </c>
      <c r="N53" s="43">
        <f t="shared" si="3"/>
        <v>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>
        <v>32</v>
      </c>
      <c r="F54" s="36">
        <v>1</v>
      </c>
      <c r="G54" s="36"/>
      <c r="H54" s="36">
        <v>4</v>
      </c>
      <c r="I54" s="13">
        <f t="shared" si="0"/>
        <v>37</v>
      </c>
      <c r="J54" s="12"/>
      <c r="K54" s="14">
        <f t="shared" si="1"/>
        <v>37</v>
      </c>
      <c r="L54">
        <v>38</v>
      </c>
      <c r="M54" s="34">
        <f t="shared" si="2"/>
        <v>1</v>
      </c>
      <c r="N54" s="43">
        <f t="shared" si="3"/>
        <v>962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/>
      <c r="G55" s="36"/>
      <c r="H55" s="36"/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/>
      <c r="G56" s="36"/>
      <c r="H56" s="36"/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21</v>
      </c>
      <c r="F57" s="36">
        <v>11</v>
      </c>
      <c r="G57" s="36"/>
      <c r="H57" s="36">
        <v>2</v>
      </c>
      <c r="I57" s="13">
        <f t="shared" si="0"/>
        <v>34</v>
      </c>
      <c r="J57" s="12"/>
      <c r="K57" s="14">
        <f>I57-J57</f>
        <v>34</v>
      </c>
      <c r="L57">
        <v>34</v>
      </c>
      <c r="M57" s="34">
        <f t="shared" si="2"/>
        <v>0</v>
      </c>
      <c r="N57" s="43">
        <f t="shared" si="3"/>
        <v>1054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/>
      <c r="G58" s="36"/>
      <c r="H58" s="36"/>
      <c r="I58" s="13">
        <f t="shared" si="0"/>
        <v>0</v>
      </c>
      <c r="J58" s="12"/>
      <c r="K58" s="14">
        <f t="shared" ref="K58:K121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/>
      <c r="F59" s="36"/>
      <c r="G59" s="36"/>
      <c r="H59" s="36"/>
      <c r="I59" s="13">
        <f t="shared" si="0"/>
        <v>0</v>
      </c>
      <c r="J59" s="12"/>
      <c r="K59" s="14">
        <f t="shared" si="4"/>
        <v>0</v>
      </c>
      <c r="M59" s="34">
        <f t="shared" si="2"/>
        <v>0</v>
      </c>
      <c r="N59" s="43">
        <f t="shared" si="3"/>
        <v>0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>
        <v>17</v>
      </c>
      <c r="F60" s="36">
        <v>15</v>
      </c>
      <c r="G60" s="36">
        <v>8</v>
      </c>
      <c r="H60" s="36">
        <v>22</v>
      </c>
      <c r="I60" s="13">
        <f t="shared" si="0"/>
        <v>62</v>
      </c>
      <c r="J60" s="12"/>
      <c r="K60" s="14">
        <f t="shared" si="4"/>
        <v>62</v>
      </c>
      <c r="L60">
        <v>62</v>
      </c>
      <c r="M60" s="34">
        <f t="shared" si="2"/>
        <v>0</v>
      </c>
      <c r="N60" s="43">
        <f t="shared" si="3"/>
        <v>930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/>
      <c r="G61" s="36"/>
      <c r="H61" s="36"/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/>
      <c r="G62" s="36"/>
      <c r="H62" s="36"/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/>
      <c r="G63" s="36"/>
      <c r="H63" s="36"/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/>
      <c r="G64" s="36"/>
      <c r="H64" s="36"/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/>
      <c r="G65" s="36"/>
      <c r="H65" s="36"/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/>
      <c r="G66" s="36"/>
      <c r="H66" s="36"/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/>
      <c r="G67" s="36"/>
      <c r="H67" s="36"/>
      <c r="I67" s="13">
        <f t="shared" ref="I67:I130" si="5">E67+F67+G67+H67</f>
        <v>0</v>
      </c>
      <c r="J67" s="12"/>
      <c r="K67" s="14">
        <f t="shared" si="4"/>
        <v>0</v>
      </c>
      <c r="M67" s="34">
        <f t="shared" ref="M67:M130" si="6">L67-I67</f>
        <v>0</v>
      </c>
      <c r="N67" s="43">
        <f t="shared" ref="N67:N130" si="7">D67*I67</f>
        <v>0</v>
      </c>
    </row>
    <row r="68" spans="1:14" ht="15.75" x14ac:dyDescent="0.25">
      <c r="A68">
        <v>598822</v>
      </c>
      <c r="B68" s="9">
        <v>250</v>
      </c>
      <c r="C68" s="10" t="s">
        <v>61</v>
      </c>
      <c r="D68" s="40">
        <v>25</v>
      </c>
      <c r="E68" s="11"/>
      <c r="F68" s="36"/>
      <c r="G68" s="36"/>
      <c r="H68" s="36"/>
      <c r="I68" s="13">
        <f t="shared" si="5"/>
        <v>0</v>
      </c>
      <c r="J68" s="12"/>
      <c r="K68" s="14">
        <f t="shared" si="4"/>
        <v>0</v>
      </c>
      <c r="M68" s="34">
        <f t="shared" si="6"/>
        <v>0</v>
      </c>
      <c r="N68" s="43">
        <f t="shared" si="7"/>
        <v>0</v>
      </c>
    </row>
    <row r="69" spans="1:14" ht="15.75" x14ac:dyDescent="0.25">
      <c r="A69">
        <v>598823</v>
      </c>
      <c r="B69" s="9">
        <v>250</v>
      </c>
      <c r="C69" s="10" t="s">
        <v>62</v>
      </c>
      <c r="D69" s="40">
        <v>25</v>
      </c>
      <c r="E69" s="11"/>
      <c r="F69" s="36"/>
      <c r="G69" s="36"/>
      <c r="H69" s="36"/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B70" s="9">
        <v>250</v>
      </c>
      <c r="C70" s="10" t="s">
        <v>54</v>
      </c>
      <c r="D70" s="40">
        <v>25</v>
      </c>
      <c r="E70" s="11"/>
      <c r="F70" s="36"/>
      <c r="G70" s="36"/>
      <c r="H70" s="36"/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55</v>
      </c>
      <c r="D71" s="40">
        <v>25</v>
      </c>
      <c r="E71" s="11"/>
      <c r="F71" s="36"/>
      <c r="G71" s="36"/>
      <c r="H71" s="36"/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56</v>
      </c>
      <c r="D72" s="40">
        <v>25</v>
      </c>
      <c r="E72" s="11"/>
      <c r="F72" s="36"/>
      <c r="G72" s="36"/>
      <c r="H72" s="36"/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1000</v>
      </c>
      <c r="C73" s="10" t="s">
        <v>52</v>
      </c>
      <c r="D73" s="40">
        <v>35</v>
      </c>
      <c r="E73" s="11"/>
      <c r="F73" s="36"/>
      <c r="G73" s="36"/>
      <c r="H73" s="36"/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53</v>
      </c>
      <c r="D74" s="40">
        <v>35</v>
      </c>
      <c r="E74" s="11"/>
      <c r="F74" s="36"/>
      <c r="G74" s="36"/>
      <c r="H74" s="36"/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54</v>
      </c>
      <c r="D75" s="40">
        <v>35</v>
      </c>
      <c r="E75" s="11"/>
      <c r="F75" s="36"/>
      <c r="G75" s="36"/>
      <c r="H75" s="36"/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55</v>
      </c>
      <c r="D76" s="40">
        <v>35</v>
      </c>
      <c r="E76" s="11"/>
      <c r="F76" s="36"/>
      <c r="G76" s="36"/>
      <c r="H76" s="36"/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56</v>
      </c>
      <c r="D77" s="40">
        <v>35</v>
      </c>
      <c r="E77" s="11"/>
      <c r="F77" s="36"/>
      <c r="G77" s="36"/>
      <c r="H77" s="36"/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A78">
        <v>599461</v>
      </c>
      <c r="B78" s="18">
        <v>145</v>
      </c>
      <c r="C78" s="10" t="s">
        <v>63</v>
      </c>
      <c r="D78" s="40">
        <v>15</v>
      </c>
      <c r="E78" s="11"/>
      <c r="F78" s="36"/>
      <c r="G78" s="36"/>
      <c r="H78" s="36"/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B79" s="9">
        <v>145</v>
      </c>
      <c r="C79" s="10" t="s">
        <v>64</v>
      </c>
      <c r="D79" s="40">
        <v>15</v>
      </c>
      <c r="E79" s="11"/>
      <c r="F79" s="36"/>
      <c r="G79" s="36"/>
      <c r="H79" s="36"/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65</v>
      </c>
      <c r="D80" s="40">
        <v>15</v>
      </c>
      <c r="E80" s="11"/>
      <c r="F80" s="36"/>
      <c r="G80" s="36"/>
      <c r="H80" s="36"/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A81">
        <v>522287</v>
      </c>
      <c r="B81" s="9">
        <v>360</v>
      </c>
      <c r="C81" s="10" t="s">
        <v>66</v>
      </c>
      <c r="D81" s="40">
        <v>20</v>
      </c>
      <c r="E81" s="11"/>
      <c r="F81" s="36"/>
      <c r="G81" s="36"/>
      <c r="H81" s="36"/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522286</v>
      </c>
      <c r="B82" s="18">
        <v>360</v>
      </c>
      <c r="C82" s="10" t="s">
        <v>67</v>
      </c>
      <c r="D82" s="40">
        <v>20</v>
      </c>
      <c r="E82" s="11"/>
      <c r="F82" s="36"/>
      <c r="G82" s="36"/>
      <c r="H82" s="36"/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522278</v>
      </c>
      <c r="B83" s="18">
        <v>360</v>
      </c>
      <c r="C83" s="10" t="s">
        <v>68</v>
      </c>
      <c r="D83" s="40">
        <v>20</v>
      </c>
      <c r="E83" s="11"/>
      <c r="F83" s="36"/>
      <c r="G83" s="36"/>
      <c r="H83" s="36"/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B84" s="9">
        <v>360</v>
      </c>
      <c r="C84" s="10" t="s">
        <v>69</v>
      </c>
      <c r="D84" s="40">
        <v>20</v>
      </c>
      <c r="E84" s="11"/>
      <c r="F84" s="36"/>
      <c r="G84" s="36"/>
      <c r="H84" s="36"/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70</v>
      </c>
      <c r="D85" s="40">
        <v>20</v>
      </c>
      <c r="E85" s="11"/>
      <c r="F85" s="36"/>
      <c r="G85" s="36"/>
      <c r="H85" s="36"/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71</v>
      </c>
      <c r="D86" s="40">
        <v>20</v>
      </c>
      <c r="E86" s="11"/>
      <c r="F86" s="36"/>
      <c r="G86" s="36"/>
      <c r="H86" s="36"/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72</v>
      </c>
      <c r="D87" s="40">
        <v>20</v>
      </c>
      <c r="E87" s="11"/>
      <c r="F87" s="36"/>
      <c r="G87" s="36"/>
      <c r="H87" s="36"/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A88">
        <v>522501</v>
      </c>
      <c r="B88" s="9">
        <v>625</v>
      </c>
      <c r="C88" s="10" t="s">
        <v>66</v>
      </c>
      <c r="D88" s="40">
        <v>50</v>
      </c>
      <c r="E88" s="11">
        <v>131</v>
      </c>
      <c r="F88" s="36">
        <v>16</v>
      </c>
      <c r="G88" s="36">
        <v>11</v>
      </c>
      <c r="H88" s="36">
        <v>15</v>
      </c>
      <c r="I88" s="13">
        <f t="shared" si="5"/>
        <v>173</v>
      </c>
      <c r="J88" s="12"/>
      <c r="K88" s="14">
        <f>I88-J88</f>
        <v>173</v>
      </c>
      <c r="L88">
        <v>173</v>
      </c>
      <c r="M88" s="34">
        <f t="shared" si="6"/>
        <v>0</v>
      </c>
      <c r="N88" s="43">
        <f t="shared" si="7"/>
        <v>8650</v>
      </c>
    </row>
    <row r="89" spans="1:14" ht="15.75" x14ac:dyDescent="0.25">
      <c r="A89">
        <v>522502</v>
      </c>
      <c r="B89" s="9">
        <v>625</v>
      </c>
      <c r="C89" s="10" t="s">
        <v>68</v>
      </c>
      <c r="D89" s="40">
        <v>50</v>
      </c>
      <c r="E89" s="11">
        <v>83</v>
      </c>
      <c r="F89" s="36">
        <v>16</v>
      </c>
      <c r="G89" s="36">
        <v>17</v>
      </c>
      <c r="H89" s="36"/>
      <c r="I89" s="13">
        <f t="shared" si="5"/>
        <v>116</v>
      </c>
      <c r="J89" s="12"/>
      <c r="K89" s="14">
        <f t="shared" si="4"/>
        <v>116</v>
      </c>
      <c r="L89">
        <v>116</v>
      </c>
      <c r="M89" s="34">
        <f t="shared" si="6"/>
        <v>0</v>
      </c>
      <c r="N89" s="43">
        <f t="shared" si="7"/>
        <v>5800</v>
      </c>
    </row>
    <row r="90" spans="1:14" ht="15.75" x14ac:dyDescent="0.25">
      <c r="A90">
        <v>522500</v>
      </c>
      <c r="B90" s="9">
        <v>625</v>
      </c>
      <c r="C90" s="10" t="s">
        <v>67</v>
      </c>
      <c r="D90" s="40">
        <v>50</v>
      </c>
      <c r="E90" s="11">
        <v>5</v>
      </c>
      <c r="F90" s="36">
        <v>15</v>
      </c>
      <c r="G90" s="36">
        <v>9</v>
      </c>
      <c r="H90" s="36">
        <v>5</v>
      </c>
      <c r="I90" s="13">
        <f t="shared" si="5"/>
        <v>34</v>
      </c>
      <c r="J90" s="12"/>
      <c r="K90" s="14">
        <f t="shared" si="4"/>
        <v>34</v>
      </c>
      <c r="L90">
        <v>34</v>
      </c>
      <c r="M90" s="34">
        <f t="shared" si="6"/>
        <v>0</v>
      </c>
      <c r="N90" s="43">
        <f t="shared" si="7"/>
        <v>1700</v>
      </c>
    </row>
    <row r="91" spans="1:14" ht="15.75" x14ac:dyDescent="0.25">
      <c r="A91">
        <v>522499</v>
      </c>
      <c r="B91" s="9">
        <v>625</v>
      </c>
      <c r="C91" s="10" t="s">
        <v>73</v>
      </c>
      <c r="D91" s="40">
        <v>50</v>
      </c>
      <c r="E91" s="11">
        <v>56</v>
      </c>
      <c r="F91" s="36">
        <v>11</v>
      </c>
      <c r="G91" s="36">
        <v>4</v>
      </c>
      <c r="H91" s="36">
        <v>6</v>
      </c>
      <c r="I91" s="13">
        <f t="shared" si="5"/>
        <v>77</v>
      </c>
      <c r="J91" s="12"/>
      <c r="K91" s="14">
        <f t="shared" si="4"/>
        <v>77</v>
      </c>
      <c r="L91">
        <v>77</v>
      </c>
      <c r="M91" s="34">
        <f t="shared" si="6"/>
        <v>0</v>
      </c>
      <c r="N91" s="43">
        <f t="shared" si="7"/>
        <v>3850</v>
      </c>
    </row>
    <row r="92" spans="1:14" ht="15.75" x14ac:dyDescent="0.25">
      <c r="B92" s="9">
        <v>625</v>
      </c>
      <c r="C92" s="10" t="s">
        <v>70</v>
      </c>
      <c r="D92" s="40">
        <v>50</v>
      </c>
      <c r="E92" s="11"/>
      <c r="F92" s="36"/>
      <c r="G92" s="36"/>
      <c r="H92" s="36"/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B93" s="9">
        <v>625</v>
      </c>
      <c r="C93" s="10" t="s">
        <v>71</v>
      </c>
      <c r="D93" s="40">
        <v>50</v>
      </c>
      <c r="E93" s="11"/>
      <c r="F93" s="36"/>
      <c r="G93" s="36"/>
      <c r="H93" s="36"/>
      <c r="I93" s="13">
        <f t="shared" si="5"/>
        <v>0</v>
      </c>
      <c r="J93" s="12"/>
      <c r="K93" s="14">
        <f t="shared" si="4"/>
        <v>0</v>
      </c>
      <c r="M93" s="34">
        <f t="shared" si="6"/>
        <v>0</v>
      </c>
      <c r="N93" s="43">
        <f t="shared" si="7"/>
        <v>0</v>
      </c>
    </row>
    <row r="94" spans="1:14" ht="15.75" x14ac:dyDescent="0.25">
      <c r="A94">
        <v>522498</v>
      </c>
      <c r="B94" s="9">
        <v>625</v>
      </c>
      <c r="C94" s="10" t="s">
        <v>74</v>
      </c>
      <c r="D94" s="40">
        <v>50</v>
      </c>
      <c r="E94" s="11"/>
      <c r="F94" s="36"/>
      <c r="G94" s="36"/>
      <c r="H94" s="36"/>
      <c r="I94" s="13">
        <f t="shared" si="5"/>
        <v>0</v>
      </c>
      <c r="J94" s="12"/>
      <c r="K94" s="14">
        <f t="shared" si="4"/>
        <v>0</v>
      </c>
      <c r="M94" s="34">
        <f t="shared" si="6"/>
        <v>0</v>
      </c>
      <c r="N94" s="43">
        <f t="shared" si="7"/>
        <v>0</v>
      </c>
    </row>
    <row r="95" spans="1:14" ht="15.75" x14ac:dyDescent="0.25">
      <c r="A95">
        <v>517507</v>
      </c>
      <c r="B95" s="18">
        <v>500</v>
      </c>
      <c r="C95" s="17" t="s">
        <v>75</v>
      </c>
      <c r="D95" s="40">
        <v>35</v>
      </c>
      <c r="E95" s="11"/>
      <c r="F95" s="36">
        <v>3</v>
      </c>
      <c r="G95" s="36">
        <v>1</v>
      </c>
      <c r="H95" s="36">
        <v>2</v>
      </c>
      <c r="I95" s="13">
        <f t="shared" si="5"/>
        <v>6</v>
      </c>
      <c r="J95" s="12"/>
      <c r="K95" s="14">
        <f t="shared" si="4"/>
        <v>6</v>
      </c>
      <c r="L95">
        <v>6</v>
      </c>
      <c r="M95" s="34">
        <f t="shared" si="6"/>
        <v>0</v>
      </c>
      <c r="N95" s="43">
        <f t="shared" si="7"/>
        <v>210</v>
      </c>
    </row>
    <row r="96" spans="1:14" ht="15.75" x14ac:dyDescent="0.25">
      <c r="A96">
        <v>517499</v>
      </c>
      <c r="B96" s="18">
        <v>360</v>
      </c>
      <c r="C96" s="17" t="s">
        <v>75</v>
      </c>
      <c r="D96" s="40">
        <v>25</v>
      </c>
      <c r="E96" s="11"/>
      <c r="F96" s="36"/>
      <c r="G96" s="36"/>
      <c r="H96" s="36"/>
      <c r="I96" s="13">
        <f t="shared" si="5"/>
        <v>0</v>
      </c>
      <c r="J96" s="12"/>
      <c r="K96" s="14">
        <f t="shared" si="4"/>
        <v>0</v>
      </c>
      <c r="M96" s="34">
        <f t="shared" si="6"/>
        <v>0</v>
      </c>
      <c r="N96" s="43">
        <f t="shared" si="7"/>
        <v>0</v>
      </c>
    </row>
    <row r="97" spans="1:14" ht="15.75" x14ac:dyDescent="0.25">
      <c r="B97" s="9">
        <v>625</v>
      </c>
      <c r="C97" s="10" t="s">
        <v>76</v>
      </c>
      <c r="D97" s="40">
        <v>44.5</v>
      </c>
      <c r="E97" s="11"/>
      <c r="F97" s="36"/>
      <c r="G97" s="36"/>
      <c r="H97" s="36"/>
      <c r="I97" s="13">
        <f t="shared" si="5"/>
        <v>0</v>
      </c>
      <c r="J97" s="12"/>
      <c r="K97" s="14">
        <f t="shared" si="4"/>
        <v>0</v>
      </c>
      <c r="M97" s="34">
        <f t="shared" si="6"/>
        <v>0</v>
      </c>
      <c r="N97" s="43">
        <f t="shared" si="7"/>
        <v>0</v>
      </c>
    </row>
    <row r="98" spans="1:14" ht="15.75" x14ac:dyDescent="0.25">
      <c r="B98" s="9">
        <v>3030</v>
      </c>
      <c r="C98" s="10" t="s">
        <v>76</v>
      </c>
      <c r="D98" s="40">
        <v>56</v>
      </c>
      <c r="E98" s="11"/>
      <c r="F98" s="36"/>
      <c r="G98" s="36"/>
      <c r="H98" s="36"/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355</v>
      </c>
      <c r="C99" s="10" t="s">
        <v>18</v>
      </c>
      <c r="D99" s="40">
        <v>44.5</v>
      </c>
      <c r="E99" s="11"/>
      <c r="F99" s="36"/>
      <c r="G99" s="36"/>
      <c r="H99" s="36"/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911</v>
      </c>
      <c r="C100" s="10" t="s">
        <v>77</v>
      </c>
      <c r="D100" s="40">
        <v>22.5</v>
      </c>
      <c r="E100" s="11"/>
      <c r="F100" s="36"/>
      <c r="G100" s="36"/>
      <c r="H100" s="36"/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A101">
        <v>500386</v>
      </c>
      <c r="B101" s="9">
        <v>355</v>
      </c>
      <c r="C101" s="10" t="s">
        <v>21</v>
      </c>
      <c r="D101" s="40">
        <v>15</v>
      </c>
      <c r="E101" s="11"/>
      <c r="F101" s="36"/>
      <c r="G101" s="36"/>
      <c r="H101" s="36"/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598944</v>
      </c>
      <c r="B102" s="20">
        <v>355</v>
      </c>
      <c r="C102" s="21" t="s">
        <v>14</v>
      </c>
      <c r="D102" s="40">
        <v>15</v>
      </c>
      <c r="E102" s="11"/>
      <c r="F102" s="36"/>
      <c r="G102" s="36"/>
      <c r="H102" s="36"/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B103" s="20">
        <v>355</v>
      </c>
      <c r="C103" s="21" t="s">
        <v>16</v>
      </c>
      <c r="D103" s="40">
        <v>15</v>
      </c>
      <c r="E103" s="11"/>
      <c r="F103" s="36"/>
      <c r="G103" s="36"/>
      <c r="H103" s="36"/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A104">
        <v>598947</v>
      </c>
      <c r="B104" s="20">
        <v>355</v>
      </c>
      <c r="C104" s="21" t="s">
        <v>15</v>
      </c>
      <c r="D104" s="40">
        <v>15</v>
      </c>
      <c r="E104" s="11"/>
      <c r="F104" s="36"/>
      <c r="G104" s="36"/>
      <c r="H104" s="36"/>
      <c r="I104" s="13">
        <f t="shared" si="5"/>
        <v>0</v>
      </c>
      <c r="J104" s="12"/>
      <c r="K104" s="14"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598943</v>
      </c>
      <c r="B105" s="20">
        <v>355</v>
      </c>
      <c r="C105" s="21" t="s">
        <v>17</v>
      </c>
      <c r="D105" s="40">
        <v>15</v>
      </c>
      <c r="E105" s="11"/>
      <c r="F105" s="36"/>
      <c r="G105" s="36"/>
      <c r="H105" s="36"/>
      <c r="I105" s="13">
        <f t="shared" si="5"/>
        <v>0</v>
      </c>
      <c r="J105" s="12"/>
      <c r="K105" s="14">
        <f t="shared" si="4"/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B106" s="20">
        <v>355</v>
      </c>
      <c r="C106" s="21" t="s">
        <v>78</v>
      </c>
      <c r="D106" s="40">
        <v>15</v>
      </c>
      <c r="E106" s="11"/>
      <c r="F106" s="36"/>
      <c r="G106" s="36"/>
      <c r="H106" s="36"/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79</v>
      </c>
      <c r="D107" s="40">
        <v>15</v>
      </c>
      <c r="E107" s="11"/>
      <c r="F107" s="36"/>
      <c r="G107" s="36"/>
      <c r="H107" s="36"/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80</v>
      </c>
      <c r="D108" s="40">
        <v>15</v>
      </c>
      <c r="E108" s="11"/>
      <c r="F108" s="36"/>
      <c r="G108" s="36"/>
      <c r="H108" s="36"/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145</v>
      </c>
      <c r="C109" s="21" t="s">
        <v>70</v>
      </c>
      <c r="D109" s="40">
        <v>10</v>
      </c>
      <c r="E109" s="11"/>
      <c r="F109" s="36"/>
      <c r="G109" s="36"/>
      <c r="H109" s="36"/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68</v>
      </c>
      <c r="D110" s="40">
        <v>10</v>
      </c>
      <c r="E110" s="11"/>
      <c r="F110" s="36"/>
      <c r="G110" s="36"/>
      <c r="H110" s="36"/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73</v>
      </c>
      <c r="D111" s="40">
        <v>10</v>
      </c>
      <c r="E111" s="11"/>
      <c r="F111" s="36"/>
      <c r="G111" s="36"/>
      <c r="H111" s="36"/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/>
      <c r="C112" s="21" t="s">
        <v>66</v>
      </c>
      <c r="D112" s="40">
        <v>10</v>
      </c>
      <c r="E112" s="11"/>
      <c r="F112" s="36"/>
      <c r="G112" s="36"/>
      <c r="H112" s="36"/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81</v>
      </c>
      <c r="D113" s="40">
        <v>10</v>
      </c>
      <c r="E113" s="11"/>
      <c r="F113" s="36"/>
      <c r="G113" s="36"/>
      <c r="H113" s="36"/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74</v>
      </c>
      <c r="D114" s="40">
        <v>10</v>
      </c>
      <c r="E114" s="11"/>
      <c r="F114" s="36"/>
      <c r="G114" s="36"/>
      <c r="H114" s="36"/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82</v>
      </c>
      <c r="D115" s="40">
        <v>10</v>
      </c>
      <c r="E115" s="11"/>
      <c r="F115" s="36"/>
      <c r="G115" s="36"/>
      <c r="H115" s="36"/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>
        <v>250</v>
      </c>
      <c r="C116" s="21" t="s">
        <v>12</v>
      </c>
      <c r="D116" s="40">
        <v>41</v>
      </c>
      <c r="E116" s="11"/>
      <c r="F116" s="36"/>
      <c r="G116" s="36"/>
      <c r="H116" s="36"/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83</v>
      </c>
      <c r="D117" s="40">
        <v>25</v>
      </c>
      <c r="E117" s="11"/>
      <c r="F117" s="36"/>
      <c r="G117" s="36"/>
      <c r="H117" s="36"/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1000</v>
      </c>
      <c r="C118" s="21" t="s">
        <v>83</v>
      </c>
      <c r="D118" s="40">
        <v>30</v>
      </c>
      <c r="E118" s="11"/>
      <c r="F118" s="36"/>
      <c r="G118" s="36"/>
      <c r="H118" s="36"/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250</v>
      </c>
      <c r="C119" s="21" t="s">
        <v>84</v>
      </c>
      <c r="D119" s="40">
        <v>25</v>
      </c>
      <c r="E119" s="11"/>
      <c r="F119" s="36"/>
      <c r="G119" s="36"/>
      <c r="H119" s="36"/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A120">
        <v>522665</v>
      </c>
      <c r="B120" s="22">
        <v>1.5</v>
      </c>
      <c r="C120" s="23" t="s">
        <v>85</v>
      </c>
      <c r="D120" s="40">
        <v>50</v>
      </c>
      <c r="E120" s="11"/>
      <c r="F120" s="36"/>
      <c r="G120" s="36"/>
      <c r="H120" s="36"/>
      <c r="I120" s="13">
        <f t="shared" si="5"/>
        <v>0</v>
      </c>
      <c r="J120" s="12"/>
      <c r="K120" s="14">
        <f t="shared" si="4"/>
        <v>0</v>
      </c>
      <c r="M120" s="34">
        <f t="shared" si="6"/>
        <v>0</v>
      </c>
      <c r="N120" s="43">
        <f t="shared" si="7"/>
        <v>0</v>
      </c>
    </row>
    <row r="121" spans="1:14" ht="15.75" x14ac:dyDescent="0.25">
      <c r="A121">
        <v>522664</v>
      </c>
      <c r="B121" s="20">
        <v>1.5</v>
      </c>
      <c r="C121" s="21" t="s">
        <v>86</v>
      </c>
      <c r="D121" s="40">
        <v>50</v>
      </c>
      <c r="E121" s="11"/>
      <c r="F121" s="36"/>
      <c r="G121" s="36"/>
      <c r="H121" s="36"/>
      <c r="I121" s="13">
        <f t="shared" si="5"/>
        <v>0</v>
      </c>
      <c r="J121" s="12"/>
      <c r="K121" s="14">
        <f t="shared" si="4"/>
        <v>0</v>
      </c>
      <c r="M121" s="34">
        <f t="shared" si="6"/>
        <v>0</v>
      </c>
      <c r="N121" s="43">
        <f t="shared" si="7"/>
        <v>0</v>
      </c>
    </row>
    <row r="122" spans="1:14" ht="15.75" x14ac:dyDescent="0.25">
      <c r="B122" s="24">
        <v>250</v>
      </c>
      <c r="C122" s="21" t="s">
        <v>13</v>
      </c>
      <c r="D122" s="40">
        <v>41</v>
      </c>
      <c r="E122" s="11"/>
      <c r="F122" s="36"/>
      <c r="G122" s="36"/>
      <c r="H122" s="36"/>
      <c r="I122" s="13">
        <f t="shared" si="5"/>
        <v>0</v>
      </c>
      <c r="J122" s="12"/>
      <c r="K122" s="14">
        <f t="shared" ref="K122:K183" si="8">I122-J122</f>
        <v>0</v>
      </c>
      <c r="M122" s="34">
        <f t="shared" si="6"/>
        <v>0</v>
      </c>
      <c r="N122" s="43">
        <f t="shared" si="7"/>
        <v>0</v>
      </c>
    </row>
    <row r="123" spans="1:14" ht="15.75" x14ac:dyDescent="0.25">
      <c r="B123" s="20">
        <v>360</v>
      </c>
      <c r="C123" s="21" t="s">
        <v>87</v>
      </c>
      <c r="D123" s="40">
        <v>25</v>
      </c>
      <c r="E123" s="11"/>
      <c r="F123" s="36"/>
      <c r="G123" s="36"/>
      <c r="H123" s="36"/>
      <c r="I123" s="13">
        <f t="shared" si="5"/>
        <v>0</v>
      </c>
      <c r="J123" s="12"/>
      <c r="K123" s="14">
        <f t="shared" si="8"/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1000</v>
      </c>
      <c r="C124" s="21" t="s">
        <v>75</v>
      </c>
      <c r="D124" s="40">
        <v>75</v>
      </c>
      <c r="E124" s="11"/>
      <c r="F124" s="36"/>
      <c r="G124" s="36"/>
      <c r="H124" s="36"/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355</v>
      </c>
      <c r="C125" s="21" t="s">
        <v>88</v>
      </c>
      <c r="D125" s="40">
        <v>15</v>
      </c>
      <c r="E125" s="11"/>
      <c r="F125" s="36"/>
      <c r="G125" s="36"/>
      <c r="H125" s="36"/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330</v>
      </c>
      <c r="C126" s="21" t="s">
        <v>89</v>
      </c>
      <c r="D126" s="40">
        <v>20</v>
      </c>
      <c r="E126" s="11"/>
      <c r="F126" s="36"/>
      <c r="G126" s="36"/>
      <c r="H126" s="36"/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90</v>
      </c>
      <c r="D127" s="40">
        <v>20</v>
      </c>
      <c r="E127" s="11"/>
      <c r="F127" s="36"/>
      <c r="G127" s="36"/>
      <c r="H127" s="36"/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91</v>
      </c>
      <c r="D128" s="40">
        <v>20</v>
      </c>
      <c r="E128" s="11"/>
      <c r="F128" s="36"/>
      <c r="G128" s="36"/>
      <c r="H128" s="36"/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92</v>
      </c>
      <c r="D129" s="40">
        <v>20</v>
      </c>
      <c r="E129" s="11"/>
      <c r="F129" s="36"/>
      <c r="G129" s="36"/>
      <c r="H129" s="36"/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93</v>
      </c>
      <c r="D130" s="40">
        <v>20</v>
      </c>
      <c r="E130" s="11"/>
      <c r="F130" s="36"/>
      <c r="G130" s="36"/>
      <c r="H130" s="36"/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94</v>
      </c>
      <c r="D131" s="40">
        <v>20</v>
      </c>
      <c r="E131" s="11"/>
      <c r="F131" s="36"/>
      <c r="G131" s="36"/>
      <c r="H131" s="36"/>
      <c r="I131" s="13">
        <f t="shared" ref="I131:I183" si="9">E131+F131+G131+H131</f>
        <v>0</v>
      </c>
      <c r="J131" s="12"/>
      <c r="K131" s="14">
        <f t="shared" si="8"/>
        <v>0</v>
      </c>
      <c r="M131" s="34">
        <f t="shared" ref="M131:M183" si="10">L131-I131</f>
        <v>0</v>
      </c>
      <c r="N131" s="43">
        <f t="shared" ref="N131:N183" si="11">D131*I131</f>
        <v>0</v>
      </c>
    </row>
    <row r="132" spans="1:14" ht="15.75" x14ac:dyDescent="0.25">
      <c r="B132" s="20">
        <v>330</v>
      </c>
      <c r="C132" s="21" t="s">
        <v>95</v>
      </c>
      <c r="D132" s="40">
        <v>20</v>
      </c>
      <c r="E132" s="11"/>
      <c r="F132" s="36"/>
      <c r="G132" s="36"/>
      <c r="H132" s="36"/>
      <c r="I132" s="13">
        <f t="shared" si="9"/>
        <v>0</v>
      </c>
      <c r="J132" s="12"/>
      <c r="K132" s="14">
        <f t="shared" si="8"/>
        <v>0</v>
      </c>
      <c r="M132" s="34">
        <f t="shared" si="10"/>
        <v>0</v>
      </c>
      <c r="N132" s="43">
        <f t="shared" si="11"/>
        <v>0</v>
      </c>
    </row>
    <row r="133" spans="1:14" ht="15.75" x14ac:dyDescent="0.25">
      <c r="B133" s="20">
        <v>330</v>
      </c>
      <c r="C133" s="21" t="s">
        <v>96</v>
      </c>
      <c r="D133" s="40">
        <v>20</v>
      </c>
      <c r="E133" s="11"/>
      <c r="F133" s="36"/>
      <c r="G133" s="36"/>
      <c r="H133" s="36"/>
      <c r="I133" s="13">
        <f t="shared" si="9"/>
        <v>0</v>
      </c>
      <c r="J133" s="12"/>
      <c r="K133" s="14">
        <f t="shared" si="8"/>
        <v>0</v>
      </c>
      <c r="M133" s="34">
        <f t="shared" si="10"/>
        <v>0</v>
      </c>
      <c r="N133" s="43">
        <f t="shared" si="11"/>
        <v>0</v>
      </c>
    </row>
    <row r="134" spans="1:14" ht="15.75" x14ac:dyDescent="0.25">
      <c r="B134" s="20">
        <v>330</v>
      </c>
      <c r="C134" s="21" t="s">
        <v>97</v>
      </c>
      <c r="D134" s="40">
        <v>20</v>
      </c>
      <c r="E134" s="11"/>
      <c r="F134" s="36"/>
      <c r="G134" s="36"/>
      <c r="H134" s="36"/>
      <c r="I134" s="13">
        <f t="shared" si="9"/>
        <v>0</v>
      </c>
      <c r="J134" s="12"/>
      <c r="K134" s="14">
        <f t="shared" si="8"/>
        <v>0</v>
      </c>
      <c r="M134" s="34">
        <f t="shared" si="10"/>
        <v>0</v>
      </c>
      <c r="N134" s="43">
        <f t="shared" si="11"/>
        <v>0</v>
      </c>
    </row>
    <row r="135" spans="1:14" ht="15.75" x14ac:dyDescent="0.25">
      <c r="B135" s="20"/>
      <c r="C135" s="21" t="s">
        <v>98</v>
      </c>
      <c r="D135" s="40">
        <v>20</v>
      </c>
      <c r="E135" s="11"/>
      <c r="F135" s="36"/>
      <c r="G135" s="36"/>
      <c r="H135" s="36"/>
      <c r="I135" s="13">
        <f t="shared" si="9"/>
        <v>0</v>
      </c>
      <c r="J135" s="12"/>
      <c r="K135" s="14">
        <f t="shared" si="8"/>
        <v>0</v>
      </c>
      <c r="M135" s="34">
        <f t="shared" si="10"/>
        <v>0</v>
      </c>
      <c r="N135" s="43">
        <f t="shared" si="11"/>
        <v>0</v>
      </c>
    </row>
    <row r="136" spans="1:14" ht="15.75" x14ac:dyDescent="0.25">
      <c r="B136" s="24">
        <v>473</v>
      </c>
      <c r="C136" s="21" t="s">
        <v>43</v>
      </c>
      <c r="D136" s="40">
        <v>25</v>
      </c>
      <c r="E136" s="11"/>
      <c r="F136" s="36"/>
      <c r="G136" s="36"/>
      <c r="H136" s="36"/>
      <c r="I136" s="13">
        <f t="shared" si="9"/>
        <v>0</v>
      </c>
      <c r="J136" s="12"/>
      <c r="K136" s="14">
        <f t="shared" si="8"/>
        <v>0</v>
      </c>
      <c r="M136" s="34">
        <f t="shared" si="10"/>
        <v>0</v>
      </c>
      <c r="N136" s="43">
        <f t="shared" si="11"/>
        <v>0</v>
      </c>
    </row>
    <row r="137" spans="1:14" ht="15.75" x14ac:dyDescent="0.25">
      <c r="B137" s="24">
        <v>473</v>
      </c>
      <c r="C137" s="21" t="s">
        <v>45</v>
      </c>
      <c r="D137" s="40">
        <v>25</v>
      </c>
      <c r="E137" s="11"/>
      <c r="F137" s="36"/>
      <c r="G137" s="36"/>
      <c r="H137" s="36"/>
      <c r="I137" s="13">
        <f t="shared" si="9"/>
        <v>0</v>
      </c>
      <c r="J137" s="12"/>
      <c r="K137" s="14">
        <f t="shared" si="8"/>
        <v>0</v>
      </c>
      <c r="M137" s="34">
        <f t="shared" si="10"/>
        <v>0</v>
      </c>
      <c r="N137" s="43">
        <f t="shared" si="11"/>
        <v>0</v>
      </c>
    </row>
    <row r="138" spans="1:14" ht="15.75" x14ac:dyDescent="0.25">
      <c r="A138">
        <v>599675</v>
      </c>
      <c r="B138" s="24">
        <v>473</v>
      </c>
      <c r="C138" s="21" t="s">
        <v>99</v>
      </c>
      <c r="D138" s="40">
        <v>25</v>
      </c>
      <c r="E138" s="11"/>
      <c r="F138" s="36"/>
      <c r="G138" s="36"/>
      <c r="H138" s="36"/>
      <c r="I138" s="13">
        <f t="shared" si="9"/>
        <v>0</v>
      </c>
      <c r="J138" s="12"/>
      <c r="K138" s="14">
        <f t="shared" si="8"/>
        <v>0</v>
      </c>
      <c r="M138" s="34">
        <f t="shared" si="10"/>
        <v>0</v>
      </c>
      <c r="N138" s="43">
        <f t="shared" si="11"/>
        <v>0</v>
      </c>
    </row>
    <row r="139" spans="1:14" ht="15.75" x14ac:dyDescent="0.25">
      <c r="B139" s="20">
        <v>473</v>
      </c>
      <c r="C139" s="21" t="s">
        <v>46</v>
      </c>
      <c r="D139" s="40">
        <v>25</v>
      </c>
      <c r="E139" s="11"/>
      <c r="F139" s="36"/>
      <c r="G139" s="36"/>
      <c r="H139" s="36"/>
      <c r="I139" s="13">
        <f t="shared" si="9"/>
        <v>0</v>
      </c>
      <c r="J139" s="12"/>
      <c r="K139" s="14">
        <f t="shared" si="8"/>
        <v>0</v>
      </c>
      <c r="M139" s="34">
        <f t="shared" si="10"/>
        <v>0</v>
      </c>
      <c r="N139" s="43">
        <f t="shared" si="11"/>
        <v>0</v>
      </c>
    </row>
    <row r="140" spans="1:14" ht="15.75" x14ac:dyDescent="0.25">
      <c r="A140">
        <v>522564</v>
      </c>
      <c r="B140" s="20">
        <v>473</v>
      </c>
      <c r="C140" s="21" t="s">
        <v>100</v>
      </c>
      <c r="D140" s="40">
        <v>25</v>
      </c>
      <c r="E140" s="11"/>
      <c r="F140" s="36"/>
      <c r="G140" s="36"/>
      <c r="H140" s="36"/>
      <c r="I140" s="13">
        <f t="shared" si="9"/>
        <v>0</v>
      </c>
      <c r="J140" s="12"/>
      <c r="K140" s="14">
        <f>I140-J140</f>
        <v>0</v>
      </c>
      <c r="M140" s="34">
        <f t="shared" si="10"/>
        <v>0</v>
      </c>
      <c r="N140" s="43">
        <f t="shared" si="11"/>
        <v>0</v>
      </c>
    </row>
    <row r="141" spans="1:14" ht="15.75" x14ac:dyDescent="0.25">
      <c r="B141" s="20">
        <v>625</v>
      </c>
      <c r="C141" s="21" t="s">
        <v>100</v>
      </c>
      <c r="D141" s="40">
        <v>62.5</v>
      </c>
      <c r="E141" s="11"/>
      <c r="F141" s="36"/>
      <c r="G141" s="36"/>
      <c r="H141" s="36"/>
      <c r="I141" s="13">
        <f t="shared" si="9"/>
        <v>0</v>
      </c>
      <c r="J141" s="12"/>
      <c r="K141" s="14">
        <f t="shared" si="8"/>
        <v>0</v>
      </c>
      <c r="M141" s="34">
        <f t="shared" si="10"/>
        <v>0</v>
      </c>
      <c r="N141" s="43">
        <f t="shared" si="11"/>
        <v>0</v>
      </c>
    </row>
    <row r="142" spans="1:14" ht="15.75" x14ac:dyDescent="0.25">
      <c r="A142" t="s">
        <v>101</v>
      </c>
      <c r="B142" s="20"/>
      <c r="C142" s="21" t="s">
        <v>102</v>
      </c>
      <c r="D142" s="40">
        <v>60</v>
      </c>
      <c r="E142" s="11"/>
      <c r="F142" s="36"/>
      <c r="G142" s="36"/>
      <c r="H142" s="36"/>
      <c r="I142" s="13">
        <f t="shared" si="9"/>
        <v>0</v>
      </c>
      <c r="J142" s="12"/>
      <c r="K142" s="14">
        <f t="shared" si="8"/>
        <v>0</v>
      </c>
      <c r="M142" s="34">
        <f t="shared" si="10"/>
        <v>0</v>
      </c>
      <c r="N142" s="43">
        <f t="shared" si="11"/>
        <v>0</v>
      </c>
    </row>
    <row r="143" spans="1:14" ht="15.75" x14ac:dyDescent="0.25">
      <c r="B143" s="20">
        <v>400</v>
      </c>
      <c r="C143" s="21" t="s">
        <v>103</v>
      </c>
      <c r="D143" s="40">
        <v>25</v>
      </c>
      <c r="E143" s="11"/>
      <c r="F143" s="36"/>
      <c r="G143" s="36"/>
      <c r="H143" s="36"/>
      <c r="I143" s="13">
        <f t="shared" si="9"/>
        <v>0</v>
      </c>
      <c r="J143" s="12"/>
      <c r="K143" s="14">
        <f t="shared" si="8"/>
        <v>0</v>
      </c>
      <c r="M143" s="34">
        <f t="shared" si="10"/>
        <v>0</v>
      </c>
      <c r="N143" s="43">
        <f t="shared" si="11"/>
        <v>0</v>
      </c>
    </row>
    <row r="144" spans="1:14" ht="15.75" x14ac:dyDescent="0.25">
      <c r="B144" s="20">
        <v>300</v>
      </c>
      <c r="C144" s="21" t="s">
        <v>43</v>
      </c>
      <c r="D144" s="40">
        <v>30</v>
      </c>
      <c r="E144" s="11"/>
      <c r="F144" s="36"/>
      <c r="G144" s="36"/>
      <c r="H144" s="36"/>
      <c r="I144" s="13">
        <f t="shared" si="9"/>
        <v>0</v>
      </c>
      <c r="J144" s="12"/>
      <c r="K144" s="14">
        <f t="shared" si="8"/>
        <v>0</v>
      </c>
      <c r="M144" s="34">
        <f t="shared" si="10"/>
        <v>0</v>
      </c>
      <c r="N144" s="43">
        <f t="shared" si="11"/>
        <v>0</v>
      </c>
    </row>
    <row r="145" spans="1:14" ht="15.75" x14ac:dyDescent="0.25">
      <c r="B145" s="20">
        <v>300</v>
      </c>
      <c r="C145" s="21" t="s">
        <v>45</v>
      </c>
      <c r="D145" s="40">
        <v>30</v>
      </c>
      <c r="E145" s="11"/>
      <c r="F145" s="36"/>
      <c r="G145" s="36"/>
      <c r="H145" s="36"/>
      <c r="I145" s="13">
        <f t="shared" si="9"/>
        <v>0</v>
      </c>
      <c r="J145" s="12"/>
      <c r="K145" s="14">
        <f t="shared" si="8"/>
        <v>0</v>
      </c>
      <c r="M145" s="34">
        <f t="shared" si="10"/>
        <v>0</v>
      </c>
      <c r="N145" s="43">
        <f t="shared" si="11"/>
        <v>0</v>
      </c>
    </row>
    <row r="146" spans="1:14" ht="15.75" x14ac:dyDescent="0.25">
      <c r="B146" s="20">
        <v>300</v>
      </c>
      <c r="C146" s="21" t="s">
        <v>44</v>
      </c>
      <c r="D146" s="40">
        <v>30</v>
      </c>
      <c r="E146" s="11"/>
      <c r="F146" s="36"/>
      <c r="G146" s="36"/>
      <c r="H146" s="36"/>
      <c r="I146" s="13">
        <f t="shared" si="9"/>
        <v>0</v>
      </c>
      <c r="J146" s="12"/>
      <c r="K146" s="14">
        <f t="shared" si="8"/>
        <v>0</v>
      </c>
      <c r="M146" s="34">
        <f t="shared" si="10"/>
        <v>0</v>
      </c>
      <c r="N146" s="43">
        <f t="shared" si="11"/>
        <v>0</v>
      </c>
    </row>
    <row r="147" spans="1:14" ht="15.75" x14ac:dyDescent="0.25">
      <c r="B147" s="20">
        <v>1090</v>
      </c>
      <c r="C147" s="21" t="s">
        <v>11</v>
      </c>
      <c r="D147" s="40">
        <v>25</v>
      </c>
      <c r="E147" s="11"/>
      <c r="F147" s="36"/>
      <c r="G147" s="36"/>
      <c r="H147" s="36"/>
      <c r="I147" s="13">
        <f t="shared" si="9"/>
        <v>0</v>
      </c>
      <c r="J147" s="12"/>
      <c r="K147" s="14">
        <f t="shared" si="8"/>
        <v>0</v>
      </c>
      <c r="M147" s="34">
        <f t="shared" si="10"/>
        <v>0</v>
      </c>
      <c r="N147" s="43">
        <f t="shared" si="11"/>
        <v>0</v>
      </c>
    </row>
    <row r="148" spans="1:14" ht="15.75" x14ac:dyDescent="0.25">
      <c r="B148" s="20">
        <v>2600</v>
      </c>
      <c r="C148" s="21" t="s">
        <v>11</v>
      </c>
      <c r="D148" s="40">
        <v>50</v>
      </c>
      <c r="E148" s="11"/>
      <c r="F148" s="36"/>
      <c r="G148" s="36"/>
      <c r="H148" s="36"/>
      <c r="I148" s="13">
        <f t="shared" si="9"/>
        <v>0</v>
      </c>
      <c r="J148" s="12"/>
      <c r="K148" s="14">
        <f t="shared" si="8"/>
        <v>0</v>
      </c>
      <c r="M148" s="34">
        <f t="shared" si="10"/>
        <v>0</v>
      </c>
      <c r="N148" s="43">
        <f t="shared" si="11"/>
        <v>0</v>
      </c>
    </row>
    <row r="149" spans="1:14" ht="15.75" x14ac:dyDescent="0.25">
      <c r="B149" s="20">
        <v>250</v>
      </c>
      <c r="C149" s="21" t="s">
        <v>104</v>
      </c>
      <c r="D149" s="40">
        <v>41</v>
      </c>
      <c r="E149" s="11"/>
      <c r="F149" s="36"/>
      <c r="G149" s="36"/>
      <c r="H149" s="36"/>
      <c r="I149" s="13">
        <f t="shared" si="9"/>
        <v>0</v>
      </c>
      <c r="J149" s="12"/>
      <c r="K149" s="14">
        <f t="shared" si="8"/>
        <v>0</v>
      </c>
      <c r="M149" s="34">
        <f t="shared" si="10"/>
        <v>0</v>
      </c>
      <c r="N149" s="43">
        <f t="shared" si="11"/>
        <v>0</v>
      </c>
    </row>
    <row r="150" spans="1:14" ht="15.75" x14ac:dyDescent="0.25">
      <c r="B150" s="20"/>
      <c r="C150" s="21" t="s">
        <v>105</v>
      </c>
      <c r="D150" s="40">
        <v>41</v>
      </c>
      <c r="E150" s="11"/>
      <c r="F150" s="36"/>
      <c r="G150" s="36"/>
      <c r="H150" s="36"/>
      <c r="I150" s="13">
        <f t="shared" si="9"/>
        <v>0</v>
      </c>
      <c r="J150" s="12"/>
      <c r="K150" s="14">
        <f t="shared" si="8"/>
        <v>0</v>
      </c>
      <c r="M150" s="34">
        <f t="shared" si="10"/>
        <v>0</v>
      </c>
      <c r="N150" s="43">
        <f t="shared" si="11"/>
        <v>0</v>
      </c>
    </row>
    <row r="151" spans="1:14" ht="15.75" x14ac:dyDescent="0.25">
      <c r="B151" s="20"/>
      <c r="C151" s="21" t="s">
        <v>16</v>
      </c>
      <c r="D151" s="40">
        <v>41</v>
      </c>
      <c r="E151" s="11"/>
      <c r="F151" s="36"/>
      <c r="G151" s="36"/>
      <c r="H151" s="36"/>
      <c r="I151" s="13">
        <f t="shared" si="9"/>
        <v>0</v>
      </c>
      <c r="J151" s="12"/>
      <c r="K151" s="14">
        <f t="shared" si="8"/>
        <v>0</v>
      </c>
      <c r="M151" s="34">
        <f t="shared" si="10"/>
        <v>0</v>
      </c>
      <c r="N151" s="43">
        <f t="shared" si="11"/>
        <v>0</v>
      </c>
    </row>
    <row r="152" spans="1:14" ht="15.75" x14ac:dyDescent="0.25">
      <c r="B152" s="20"/>
      <c r="C152" s="21" t="s">
        <v>106</v>
      </c>
      <c r="D152" s="40">
        <v>41</v>
      </c>
      <c r="E152" s="11"/>
      <c r="F152" s="36"/>
      <c r="G152" s="36"/>
      <c r="H152" s="36"/>
      <c r="I152" s="13">
        <f t="shared" si="9"/>
        <v>0</v>
      </c>
      <c r="J152" s="12"/>
      <c r="K152" s="14">
        <f t="shared" si="8"/>
        <v>0</v>
      </c>
      <c r="M152" s="34">
        <f t="shared" si="10"/>
        <v>0</v>
      </c>
      <c r="N152" s="43">
        <f t="shared" si="11"/>
        <v>0</v>
      </c>
    </row>
    <row r="153" spans="1:14" ht="15.75" x14ac:dyDescent="0.25">
      <c r="B153" s="20"/>
      <c r="C153" s="21" t="s">
        <v>107</v>
      </c>
      <c r="D153" s="40">
        <v>41</v>
      </c>
      <c r="E153" s="11"/>
      <c r="F153" s="36"/>
      <c r="G153" s="36"/>
      <c r="H153" s="36"/>
      <c r="I153" s="13">
        <f t="shared" si="9"/>
        <v>0</v>
      </c>
      <c r="J153" s="12"/>
      <c r="K153" s="14">
        <f t="shared" si="8"/>
        <v>0</v>
      </c>
      <c r="M153" s="34">
        <f t="shared" si="10"/>
        <v>0</v>
      </c>
      <c r="N153" s="43">
        <f t="shared" si="11"/>
        <v>0</v>
      </c>
    </row>
    <row r="154" spans="1:14" ht="15.75" x14ac:dyDescent="0.25">
      <c r="B154" s="20"/>
      <c r="C154" s="21" t="s">
        <v>108</v>
      </c>
      <c r="D154" s="40">
        <v>41</v>
      </c>
      <c r="E154" s="11"/>
      <c r="F154" s="36"/>
      <c r="G154" s="36"/>
      <c r="H154" s="36"/>
      <c r="I154" s="13">
        <f t="shared" si="9"/>
        <v>0</v>
      </c>
      <c r="J154" s="12"/>
      <c r="K154" s="14">
        <f t="shared" si="8"/>
        <v>0</v>
      </c>
      <c r="M154" s="34">
        <f t="shared" si="10"/>
        <v>0</v>
      </c>
      <c r="N154" s="43">
        <f t="shared" si="11"/>
        <v>0</v>
      </c>
    </row>
    <row r="155" spans="1:14" ht="15.75" x14ac:dyDescent="0.25">
      <c r="A155">
        <v>699952</v>
      </c>
      <c r="B155" s="20"/>
      <c r="C155" s="21" t="s">
        <v>109</v>
      </c>
      <c r="D155" s="40">
        <v>52.2</v>
      </c>
      <c r="E155" s="11"/>
      <c r="F155" s="36"/>
      <c r="G155" s="36"/>
      <c r="H155" s="36"/>
      <c r="I155" s="13">
        <f t="shared" si="9"/>
        <v>0</v>
      </c>
      <c r="J155" s="12"/>
      <c r="K155" s="14">
        <f t="shared" si="8"/>
        <v>0</v>
      </c>
      <c r="M155" s="34">
        <f t="shared" si="10"/>
        <v>0</v>
      </c>
      <c r="N155" s="43">
        <f t="shared" si="11"/>
        <v>0</v>
      </c>
    </row>
    <row r="156" spans="1:14" ht="15.75" x14ac:dyDescent="0.25">
      <c r="A156">
        <v>501020</v>
      </c>
      <c r="B156" s="24">
        <v>360</v>
      </c>
      <c r="C156" s="21" t="s">
        <v>110</v>
      </c>
      <c r="D156" s="40">
        <v>23.5</v>
      </c>
      <c r="E156" s="11"/>
      <c r="F156" s="36"/>
      <c r="G156" s="36"/>
      <c r="H156" s="36">
        <v>1</v>
      </c>
      <c r="I156" s="13">
        <f t="shared" si="9"/>
        <v>1</v>
      </c>
      <c r="J156" s="12"/>
      <c r="K156" s="14">
        <f t="shared" si="8"/>
        <v>1</v>
      </c>
      <c r="L156">
        <v>1</v>
      </c>
      <c r="M156" s="34">
        <f t="shared" si="10"/>
        <v>0</v>
      </c>
      <c r="N156" s="43">
        <f t="shared" si="11"/>
        <v>23.5</v>
      </c>
    </row>
    <row r="157" spans="1:14" ht="15.75" x14ac:dyDescent="0.25">
      <c r="A157">
        <v>501505</v>
      </c>
      <c r="B157" s="24">
        <v>360</v>
      </c>
      <c r="C157" s="21" t="s">
        <v>17</v>
      </c>
      <c r="D157" s="40">
        <v>47</v>
      </c>
      <c r="E157" s="11"/>
      <c r="F157" s="36"/>
      <c r="G157" s="36"/>
      <c r="H157" s="36"/>
      <c r="I157" s="13">
        <f t="shared" si="9"/>
        <v>0</v>
      </c>
      <c r="J157" s="12"/>
      <c r="K157" s="14">
        <f t="shared" si="8"/>
        <v>0</v>
      </c>
      <c r="M157" s="34">
        <f t="shared" si="10"/>
        <v>0</v>
      </c>
      <c r="N157" s="43">
        <f t="shared" si="11"/>
        <v>0</v>
      </c>
    </row>
    <row r="158" spans="1:14" ht="15.75" x14ac:dyDescent="0.25">
      <c r="B158" s="20">
        <v>250</v>
      </c>
      <c r="C158" s="21" t="s">
        <v>111</v>
      </c>
      <c r="D158" s="40">
        <v>25</v>
      </c>
      <c r="E158" s="11"/>
      <c r="F158" s="36"/>
      <c r="G158" s="36"/>
      <c r="H158" s="36"/>
      <c r="I158" s="13">
        <f t="shared" si="9"/>
        <v>0</v>
      </c>
      <c r="J158" s="12"/>
      <c r="K158" s="14">
        <f t="shared" si="8"/>
        <v>0</v>
      </c>
      <c r="M158" s="34">
        <f t="shared" si="10"/>
        <v>0</v>
      </c>
      <c r="N158" s="43">
        <f t="shared" si="11"/>
        <v>0</v>
      </c>
    </row>
    <row r="159" spans="1:14" ht="15.75" x14ac:dyDescent="0.25">
      <c r="B159" s="20">
        <v>250</v>
      </c>
      <c r="C159" s="21" t="s">
        <v>112</v>
      </c>
      <c r="D159" s="40">
        <v>25</v>
      </c>
      <c r="E159" s="11"/>
      <c r="F159" s="36"/>
      <c r="G159" s="36"/>
      <c r="H159" s="36"/>
      <c r="I159" s="13">
        <f t="shared" si="9"/>
        <v>0</v>
      </c>
      <c r="J159" s="12"/>
      <c r="K159" s="14">
        <f t="shared" si="8"/>
        <v>0</v>
      </c>
      <c r="M159" s="34">
        <f t="shared" si="10"/>
        <v>0</v>
      </c>
      <c r="N159" s="43">
        <f t="shared" si="11"/>
        <v>0</v>
      </c>
    </row>
    <row r="160" spans="1:14" ht="15.75" x14ac:dyDescent="0.25">
      <c r="A160">
        <v>501207</v>
      </c>
      <c r="B160" s="20">
        <v>360</v>
      </c>
      <c r="C160" s="21" t="s">
        <v>113</v>
      </c>
      <c r="D160" s="40">
        <v>47</v>
      </c>
      <c r="E160" s="11"/>
      <c r="F160" s="36"/>
      <c r="G160" s="36"/>
      <c r="H160" s="36"/>
      <c r="I160" s="13">
        <f t="shared" si="9"/>
        <v>0</v>
      </c>
      <c r="J160" s="12"/>
      <c r="K160" s="14">
        <f t="shared" si="8"/>
        <v>0</v>
      </c>
      <c r="M160" s="34">
        <f t="shared" si="10"/>
        <v>0</v>
      </c>
      <c r="N160" s="43">
        <f t="shared" si="11"/>
        <v>0</v>
      </c>
    </row>
    <row r="161" spans="1:14" ht="15.75" x14ac:dyDescent="0.25">
      <c r="A161">
        <v>599858</v>
      </c>
      <c r="B161" s="22"/>
      <c r="C161" s="23" t="s">
        <v>114</v>
      </c>
      <c r="D161" s="40">
        <v>44</v>
      </c>
      <c r="E161" s="11"/>
      <c r="F161" s="36"/>
      <c r="G161" s="36"/>
      <c r="H161" s="36"/>
      <c r="I161" s="13">
        <f t="shared" si="9"/>
        <v>0</v>
      </c>
      <c r="J161" s="12"/>
      <c r="K161" s="14">
        <f t="shared" si="8"/>
        <v>0</v>
      </c>
      <c r="M161" s="34">
        <f t="shared" si="10"/>
        <v>0</v>
      </c>
      <c r="N161" s="43">
        <f t="shared" si="11"/>
        <v>0</v>
      </c>
    </row>
    <row r="162" spans="1:14" ht="15.75" x14ac:dyDescent="0.25">
      <c r="A162">
        <v>599857</v>
      </c>
      <c r="B162" s="22"/>
      <c r="C162" s="23" t="s">
        <v>115</v>
      </c>
      <c r="D162" s="40">
        <v>44</v>
      </c>
      <c r="E162" s="11"/>
      <c r="F162" s="36"/>
      <c r="G162" s="36"/>
      <c r="H162" s="36"/>
      <c r="I162" s="13">
        <f t="shared" si="9"/>
        <v>0</v>
      </c>
      <c r="J162" s="12"/>
      <c r="K162" s="14">
        <f t="shared" si="8"/>
        <v>0</v>
      </c>
      <c r="M162" s="34">
        <f t="shared" si="10"/>
        <v>0</v>
      </c>
      <c r="N162" s="43">
        <f t="shared" si="11"/>
        <v>0</v>
      </c>
    </row>
    <row r="163" spans="1:14" ht="15.75" x14ac:dyDescent="0.25">
      <c r="A163">
        <v>621972</v>
      </c>
      <c r="B163" s="20"/>
      <c r="C163" s="21" t="s">
        <v>116</v>
      </c>
      <c r="D163" s="40">
        <v>14.4</v>
      </c>
      <c r="E163" s="11"/>
      <c r="F163" s="36"/>
      <c r="G163" s="36"/>
      <c r="H163" s="36"/>
      <c r="I163" s="13">
        <f t="shared" si="9"/>
        <v>0</v>
      </c>
      <c r="J163" s="12"/>
      <c r="K163" s="14">
        <f t="shared" si="8"/>
        <v>0</v>
      </c>
      <c r="M163" s="34">
        <f t="shared" si="10"/>
        <v>0</v>
      </c>
      <c r="N163" s="43">
        <f t="shared" si="11"/>
        <v>0</v>
      </c>
    </row>
    <row r="164" spans="1:14" ht="15.75" x14ac:dyDescent="0.25">
      <c r="A164">
        <v>622165</v>
      </c>
      <c r="B164" s="20"/>
      <c r="C164" s="21" t="s">
        <v>117</v>
      </c>
      <c r="D164" s="40">
        <v>73.7</v>
      </c>
      <c r="E164" s="11"/>
      <c r="F164" s="36"/>
      <c r="G164" s="36"/>
      <c r="H164" s="36"/>
      <c r="I164" s="13">
        <f t="shared" si="9"/>
        <v>0</v>
      </c>
      <c r="J164" s="12"/>
      <c r="K164" s="14">
        <f t="shared" si="8"/>
        <v>0</v>
      </c>
      <c r="M164" s="34">
        <f t="shared" si="10"/>
        <v>0</v>
      </c>
      <c r="N164" s="43">
        <f t="shared" si="11"/>
        <v>0</v>
      </c>
    </row>
    <row r="165" spans="1:14" ht="15.75" x14ac:dyDescent="0.25">
      <c r="B165" s="20">
        <v>300</v>
      </c>
      <c r="C165" s="21" t="s">
        <v>104</v>
      </c>
      <c r="D165" s="40">
        <v>40</v>
      </c>
      <c r="E165" s="11"/>
      <c r="F165" s="36"/>
      <c r="G165" s="36"/>
      <c r="H165" s="36"/>
      <c r="I165" s="13">
        <f t="shared" si="9"/>
        <v>0</v>
      </c>
      <c r="J165" s="12"/>
      <c r="K165" s="14">
        <f t="shared" si="8"/>
        <v>0</v>
      </c>
      <c r="M165" s="34">
        <f t="shared" si="10"/>
        <v>0</v>
      </c>
      <c r="N165" s="43">
        <f t="shared" si="11"/>
        <v>0</v>
      </c>
    </row>
    <row r="166" spans="1:14" ht="15.75" x14ac:dyDescent="0.25">
      <c r="A166">
        <v>622164</v>
      </c>
      <c r="B166" s="20"/>
      <c r="C166" s="21" t="s">
        <v>118</v>
      </c>
      <c r="D166" s="40">
        <v>30</v>
      </c>
      <c r="E166" s="11"/>
      <c r="F166" s="36"/>
      <c r="G166" s="36"/>
      <c r="H166" s="36"/>
      <c r="I166" s="13">
        <f t="shared" si="9"/>
        <v>0</v>
      </c>
      <c r="J166" s="12"/>
      <c r="K166" s="14">
        <f t="shared" si="8"/>
        <v>0</v>
      </c>
      <c r="M166" s="34">
        <f t="shared" si="10"/>
        <v>0</v>
      </c>
      <c r="N166" s="43">
        <f t="shared" si="11"/>
        <v>0</v>
      </c>
    </row>
    <row r="167" spans="1:14" ht="15.75" x14ac:dyDescent="0.25">
      <c r="A167">
        <v>621967</v>
      </c>
      <c r="B167" s="20"/>
      <c r="C167" s="21" t="s">
        <v>118</v>
      </c>
      <c r="D167" s="40">
        <v>90</v>
      </c>
      <c r="E167" s="11"/>
      <c r="F167" s="36">
        <v>1</v>
      </c>
      <c r="G167" s="36"/>
      <c r="H167" s="36">
        <v>1</v>
      </c>
      <c r="I167" s="13">
        <f t="shared" si="9"/>
        <v>2</v>
      </c>
      <c r="J167" s="12"/>
      <c r="K167" s="14">
        <f t="shared" si="8"/>
        <v>2</v>
      </c>
      <c r="L167">
        <v>2</v>
      </c>
      <c r="M167" s="34">
        <f t="shared" si="10"/>
        <v>0</v>
      </c>
      <c r="N167" s="43">
        <f t="shared" si="11"/>
        <v>180</v>
      </c>
    </row>
    <row r="168" spans="1:14" ht="15.75" x14ac:dyDescent="0.25">
      <c r="A168">
        <v>500032</v>
      </c>
      <c r="B168" s="24">
        <v>360</v>
      </c>
      <c r="C168" s="21" t="s">
        <v>104</v>
      </c>
      <c r="D168" s="40">
        <v>47</v>
      </c>
      <c r="E168" s="11">
        <v>44</v>
      </c>
      <c r="F168" s="36">
        <v>12</v>
      </c>
      <c r="G168" s="36"/>
      <c r="H168" s="36">
        <v>11</v>
      </c>
      <c r="I168" s="13">
        <f t="shared" si="9"/>
        <v>67</v>
      </c>
      <c r="J168" s="12"/>
      <c r="K168" s="14">
        <f t="shared" si="8"/>
        <v>67</v>
      </c>
      <c r="L168">
        <v>67</v>
      </c>
      <c r="M168" s="34">
        <f t="shared" si="10"/>
        <v>0</v>
      </c>
      <c r="N168" s="43">
        <f t="shared" si="11"/>
        <v>3149</v>
      </c>
    </row>
    <row r="169" spans="1:14" ht="15.75" x14ac:dyDescent="0.25">
      <c r="A169">
        <v>522459</v>
      </c>
      <c r="B169" s="24">
        <v>360</v>
      </c>
      <c r="C169" s="21" t="s">
        <v>119</v>
      </c>
      <c r="D169" s="40">
        <v>30</v>
      </c>
      <c r="E169" s="11"/>
      <c r="F169" s="36"/>
      <c r="G169" s="36">
        <v>2</v>
      </c>
      <c r="H169" s="36"/>
      <c r="I169" s="13">
        <f t="shared" si="9"/>
        <v>2</v>
      </c>
      <c r="J169" s="12"/>
      <c r="K169" s="14">
        <f t="shared" si="8"/>
        <v>2</v>
      </c>
      <c r="L169">
        <v>2</v>
      </c>
      <c r="M169" s="34">
        <f t="shared" si="10"/>
        <v>0</v>
      </c>
      <c r="N169" s="43">
        <f t="shared" si="11"/>
        <v>60</v>
      </c>
    </row>
    <row r="170" spans="1:14" ht="15.75" x14ac:dyDescent="0.25">
      <c r="A170">
        <v>522451</v>
      </c>
      <c r="B170" s="24">
        <v>360</v>
      </c>
      <c r="C170" s="21" t="s">
        <v>120</v>
      </c>
      <c r="D170" s="40">
        <v>30</v>
      </c>
      <c r="E170" s="11">
        <v>125</v>
      </c>
      <c r="F170" s="36">
        <v>2</v>
      </c>
      <c r="G170" s="36"/>
      <c r="H170" s="36">
        <v>13</v>
      </c>
      <c r="I170" s="13">
        <f t="shared" si="9"/>
        <v>140</v>
      </c>
      <c r="J170" s="12"/>
      <c r="K170" s="14">
        <f t="shared" si="8"/>
        <v>140</v>
      </c>
      <c r="L170">
        <v>140</v>
      </c>
      <c r="M170" s="34">
        <f t="shared" si="10"/>
        <v>0</v>
      </c>
      <c r="N170" s="43">
        <f t="shared" si="11"/>
        <v>4200</v>
      </c>
    </row>
    <row r="171" spans="1:14" ht="15.75" x14ac:dyDescent="0.25">
      <c r="A171">
        <v>522450</v>
      </c>
      <c r="B171" s="24">
        <v>360</v>
      </c>
      <c r="C171" s="21" t="s">
        <v>121</v>
      </c>
      <c r="D171" s="40">
        <v>30</v>
      </c>
      <c r="E171" s="11">
        <v>209</v>
      </c>
      <c r="F171" s="36">
        <v>2</v>
      </c>
      <c r="G171" s="36">
        <v>1</v>
      </c>
      <c r="H171" s="36">
        <v>4</v>
      </c>
      <c r="I171" s="13">
        <f t="shared" si="9"/>
        <v>216</v>
      </c>
      <c r="J171" s="12"/>
      <c r="K171" s="14">
        <f t="shared" si="8"/>
        <v>216</v>
      </c>
      <c r="L171">
        <v>216</v>
      </c>
      <c r="M171" s="34">
        <f t="shared" si="10"/>
        <v>0</v>
      </c>
      <c r="N171" s="43">
        <f t="shared" si="11"/>
        <v>6480</v>
      </c>
    </row>
    <row r="172" spans="1:14" ht="15.75" x14ac:dyDescent="0.25">
      <c r="A172">
        <v>522461</v>
      </c>
      <c r="B172" s="20">
        <v>360</v>
      </c>
      <c r="C172" s="21" t="s">
        <v>122</v>
      </c>
      <c r="D172" s="40">
        <v>30</v>
      </c>
      <c r="E172" s="11"/>
      <c r="F172" s="36"/>
      <c r="G172" s="36"/>
      <c r="H172" s="36">
        <v>0</v>
      </c>
      <c r="I172" s="13">
        <f t="shared" si="9"/>
        <v>0</v>
      </c>
      <c r="J172" s="12"/>
      <c r="K172" s="14">
        <f t="shared" si="8"/>
        <v>0</v>
      </c>
      <c r="M172" s="34">
        <f t="shared" si="10"/>
        <v>0</v>
      </c>
      <c r="N172" s="43">
        <f t="shared" si="11"/>
        <v>0</v>
      </c>
    </row>
    <row r="173" spans="1:14" ht="15.75" x14ac:dyDescent="0.25">
      <c r="A173">
        <v>522463</v>
      </c>
      <c r="B173" s="20">
        <v>360</v>
      </c>
      <c r="C173" s="21" t="s">
        <v>123</v>
      </c>
      <c r="D173" s="40">
        <v>30</v>
      </c>
      <c r="E173" s="11"/>
      <c r="F173" s="36"/>
      <c r="G173" s="36"/>
      <c r="H173" s="36">
        <v>0</v>
      </c>
      <c r="I173" s="13">
        <f t="shared" si="9"/>
        <v>0</v>
      </c>
      <c r="J173" s="12"/>
      <c r="K173" s="14">
        <f t="shared" si="8"/>
        <v>0</v>
      </c>
      <c r="M173" s="34">
        <f t="shared" si="10"/>
        <v>0</v>
      </c>
      <c r="N173" s="43">
        <f t="shared" si="11"/>
        <v>0</v>
      </c>
    </row>
    <row r="174" spans="1:14" ht="15.75" x14ac:dyDescent="0.25">
      <c r="A174">
        <v>522462</v>
      </c>
      <c r="B174" s="22">
        <v>360</v>
      </c>
      <c r="C174" s="23" t="s">
        <v>124</v>
      </c>
      <c r="D174" s="40">
        <v>30</v>
      </c>
      <c r="E174" s="11"/>
      <c r="F174" s="36"/>
      <c r="G174" s="36"/>
      <c r="H174" s="36">
        <v>0</v>
      </c>
      <c r="I174" s="13">
        <f t="shared" si="9"/>
        <v>0</v>
      </c>
      <c r="J174" s="12"/>
      <c r="K174" s="14">
        <f t="shared" si="8"/>
        <v>0</v>
      </c>
      <c r="M174" s="34">
        <f t="shared" si="10"/>
        <v>0</v>
      </c>
      <c r="N174" s="43">
        <f t="shared" si="11"/>
        <v>0</v>
      </c>
    </row>
    <row r="175" spans="1:14" ht="15.75" x14ac:dyDescent="0.25">
      <c r="A175">
        <v>522460</v>
      </c>
      <c r="B175" s="22">
        <v>360</v>
      </c>
      <c r="C175" s="23" t="s">
        <v>125</v>
      </c>
      <c r="D175" s="40">
        <v>30</v>
      </c>
      <c r="E175" s="11"/>
      <c r="F175" s="36"/>
      <c r="G175" s="36"/>
      <c r="H175" s="36">
        <v>0</v>
      </c>
      <c r="I175" s="13">
        <f t="shared" si="9"/>
        <v>0</v>
      </c>
      <c r="J175" s="12"/>
      <c r="K175" s="14">
        <f t="shared" si="8"/>
        <v>0</v>
      </c>
      <c r="M175" s="34">
        <f t="shared" si="10"/>
        <v>0</v>
      </c>
      <c r="N175" s="43">
        <f t="shared" si="11"/>
        <v>0</v>
      </c>
    </row>
    <row r="176" spans="1:14" ht="15.75" x14ac:dyDescent="0.25">
      <c r="A176">
        <v>522921</v>
      </c>
      <c r="B176" s="20">
        <v>600</v>
      </c>
      <c r="C176" s="21" t="s">
        <v>126</v>
      </c>
      <c r="D176" s="40">
        <v>50</v>
      </c>
      <c r="E176" s="11"/>
      <c r="F176" s="36"/>
      <c r="G176" s="36"/>
      <c r="H176" s="36">
        <v>0</v>
      </c>
      <c r="I176" s="13">
        <f t="shared" si="9"/>
        <v>0</v>
      </c>
      <c r="J176" s="12"/>
      <c r="K176" s="14">
        <f t="shared" si="8"/>
        <v>0</v>
      </c>
      <c r="M176" s="34">
        <f t="shared" si="10"/>
        <v>0</v>
      </c>
      <c r="N176" s="43">
        <f t="shared" si="11"/>
        <v>0</v>
      </c>
    </row>
    <row r="177" spans="1:14" ht="15.75" x14ac:dyDescent="0.25">
      <c r="A177">
        <v>522906</v>
      </c>
      <c r="B177" s="24">
        <v>600</v>
      </c>
      <c r="C177" s="21" t="s">
        <v>121</v>
      </c>
      <c r="D177" s="40">
        <v>50</v>
      </c>
      <c r="E177" s="11"/>
      <c r="F177" s="36"/>
      <c r="G177" s="36"/>
      <c r="H177" s="36">
        <v>0</v>
      </c>
      <c r="I177" s="13">
        <f t="shared" si="9"/>
        <v>0</v>
      </c>
      <c r="J177" s="12"/>
      <c r="K177" s="14">
        <f t="shared" si="8"/>
        <v>0</v>
      </c>
      <c r="M177" s="34">
        <f t="shared" si="10"/>
        <v>0</v>
      </c>
      <c r="N177" s="43">
        <f t="shared" si="11"/>
        <v>0</v>
      </c>
    </row>
    <row r="178" spans="1:14" ht="15.75" x14ac:dyDescent="0.25">
      <c r="A178">
        <v>522907</v>
      </c>
      <c r="B178" s="24">
        <v>600</v>
      </c>
      <c r="C178" s="21" t="s">
        <v>120</v>
      </c>
      <c r="D178" s="40">
        <v>50</v>
      </c>
      <c r="E178" s="11"/>
      <c r="F178" s="36"/>
      <c r="G178" s="36"/>
      <c r="H178" s="36">
        <v>0</v>
      </c>
      <c r="I178" s="13">
        <f t="shared" si="9"/>
        <v>0</v>
      </c>
      <c r="J178" s="12"/>
      <c r="K178" s="14">
        <f t="shared" si="8"/>
        <v>0</v>
      </c>
      <c r="M178" s="34">
        <f t="shared" si="10"/>
        <v>0</v>
      </c>
      <c r="N178" s="43">
        <f t="shared" si="11"/>
        <v>0</v>
      </c>
    </row>
    <row r="179" spans="1:14" ht="15.75" x14ac:dyDescent="0.25">
      <c r="A179">
        <v>522499</v>
      </c>
      <c r="B179" s="20">
        <v>625</v>
      </c>
      <c r="C179" s="21" t="s">
        <v>14</v>
      </c>
      <c r="D179" s="40">
        <v>50</v>
      </c>
      <c r="E179" s="11"/>
      <c r="F179" s="36"/>
      <c r="G179" s="36"/>
      <c r="H179" s="36">
        <v>0</v>
      </c>
      <c r="I179" s="13">
        <f t="shared" si="9"/>
        <v>0</v>
      </c>
      <c r="J179" s="12"/>
      <c r="K179" s="14">
        <f t="shared" si="8"/>
        <v>0</v>
      </c>
      <c r="M179" s="34">
        <f t="shared" si="10"/>
        <v>0</v>
      </c>
      <c r="N179" s="43">
        <f t="shared" si="11"/>
        <v>0</v>
      </c>
    </row>
    <row r="180" spans="1:14" ht="15.75" x14ac:dyDescent="0.25">
      <c r="A180">
        <v>522496</v>
      </c>
      <c r="B180" s="20">
        <v>625</v>
      </c>
      <c r="C180" s="21" t="s">
        <v>127</v>
      </c>
      <c r="D180" s="40">
        <v>50</v>
      </c>
      <c r="E180" s="11"/>
      <c r="F180" s="36"/>
      <c r="G180" s="36"/>
      <c r="H180" s="36">
        <v>0</v>
      </c>
      <c r="I180" s="13">
        <f t="shared" si="9"/>
        <v>0</v>
      </c>
      <c r="J180" s="12"/>
      <c r="K180" s="14">
        <f t="shared" si="8"/>
        <v>0</v>
      </c>
      <c r="M180" s="34">
        <f t="shared" si="10"/>
        <v>0</v>
      </c>
      <c r="N180" s="43">
        <f t="shared" si="11"/>
        <v>0</v>
      </c>
    </row>
    <row r="181" spans="1:14" ht="15.75" x14ac:dyDescent="0.25">
      <c r="A181">
        <v>522498</v>
      </c>
      <c r="B181" s="20">
        <v>625</v>
      </c>
      <c r="C181" s="21" t="s">
        <v>128</v>
      </c>
      <c r="D181" s="40">
        <v>50</v>
      </c>
      <c r="E181" s="11"/>
      <c r="F181" s="36"/>
      <c r="G181" s="36"/>
      <c r="H181" s="36">
        <v>0</v>
      </c>
      <c r="I181" s="13">
        <f t="shared" si="9"/>
        <v>0</v>
      </c>
      <c r="J181" s="12"/>
      <c r="K181" s="14">
        <f t="shared" si="8"/>
        <v>0</v>
      </c>
      <c r="M181" s="34">
        <f t="shared" si="10"/>
        <v>0</v>
      </c>
      <c r="N181" s="43">
        <f t="shared" si="11"/>
        <v>0</v>
      </c>
    </row>
    <row r="182" spans="1:14" ht="15.75" x14ac:dyDescent="0.25">
      <c r="A182">
        <v>522497</v>
      </c>
      <c r="B182" s="20">
        <v>625</v>
      </c>
      <c r="C182" s="21" t="s">
        <v>129</v>
      </c>
      <c r="D182" s="40">
        <v>50</v>
      </c>
      <c r="E182" s="11"/>
      <c r="F182" s="36"/>
      <c r="G182" s="36"/>
      <c r="H182" s="36">
        <v>0</v>
      </c>
      <c r="I182" s="13">
        <f t="shared" si="9"/>
        <v>0</v>
      </c>
      <c r="J182" s="12"/>
      <c r="K182" s="14">
        <f t="shared" si="8"/>
        <v>0</v>
      </c>
      <c r="M182" s="34">
        <f t="shared" si="10"/>
        <v>0</v>
      </c>
      <c r="N182" s="43">
        <f t="shared" si="11"/>
        <v>0</v>
      </c>
    </row>
    <row r="183" spans="1:14" ht="15.75" x14ac:dyDescent="0.25">
      <c r="A183">
        <v>523188</v>
      </c>
      <c r="B183" s="20"/>
      <c r="C183" s="21" t="s">
        <v>130</v>
      </c>
      <c r="D183" s="40">
        <v>9.25</v>
      </c>
      <c r="E183" s="11">
        <v>24</v>
      </c>
      <c r="F183" s="36">
        <v>20</v>
      </c>
      <c r="G183" s="36"/>
      <c r="H183" s="36">
        <v>0</v>
      </c>
      <c r="I183" s="13">
        <f t="shared" si="9"/>
        <v>44</v>
      </c>
      <c r="J183" s="12"/>
      <c r="K183" s="14">
        <f t="shared" si="8"/>
        <v>44</v>
      </c>
      <c r="L183">
        <v>44</v>
      </c>
      <c r="M183" s="34">
        <f t="shared" si="10"/>
        <v>0</v>
      </c>
      <c r="N183" s="43">
        <f t="shared" si="11"/>
        <v>407</v>
      </c>
    </row>
    <row r="184" spans="1:14" ht="16.5" thickBot="1" x14ac:dyDescent="0.3">
      <c r="B184" s="25"/>
      <c r="C184" s="26"/>
      <c r="D184" s="42"/>
      <c r="E184" s="27"/>
      <c r="F184" s="28"/>
      <c r="G184" s="29"/>
      <c r="H184" s="28"/>
      <c r="I184" s="30"/>
      <c r="J184" s="28"/>
      <c r="K184" s="31"/>
      <c r="N184" s="43">
        <f>SUM(N2:N183)</f>
        <v>62514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4"/>
  <sheetViews>
    <sheetView topLeftCell="A182" workbookViewId="0">
      <selection activeCell="D2" sqref="D2:D183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7.5703125" bestFit="1" customWidth="1"/>
    <col min="5" max="5" width="8.140625" bestFit="1" customWidth="1"/>
    <col min="6" max="6" width="8.140625" style="33" bestFit="1" customWidth="1"/>
    <col min="7" max="7" width="8.5703125" bestFit="1" customWidth="1"/>
    <col min="8" max="8" width="5.42578125" style="34" bestFit="1" customWidth="1"/>
    <col min="9" max="9" width="8" bestFit="1" customWidth="1"/>
    <col min="10" max="10" width="11.28515625" customWidth="1"/>
    <col min="11" max="11" width="8.7109375" customWidth="1"/>
    <col min="12" max="12" width="5.7109375" style="34" customWidth="1"/>
    <col min="13" max="13" width="5.7109375" customWidth="1"/>
  </cols>
  <sheetData>
    <row r="1" spans="1:12" ht="32.25" thickBot="1" x14ac:dyDescent="0.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35"/>
    </row>
    <row r="2" spans="1:12" ht="15.75" x14ac:dyDescent="0.25">
      <c r="B2" s="9">
        <v>3300</v>
      </c>
      <c r="C2" s="10" t="s">
        <v>11</v>
      </c>
      <c r="D2" s="11"/>
      <c r="E2" s="36">
        <v>0</v>
      </c>
      <c r="F2" s="36">
        <v>0</v>
      </c>
      <c r="G2" s="36">
        <v>0</v>
      </c>
      <c r="H2" s="13">
        <f>D2+E2+F2+G2</f>
        <v>0</v>
      </c>
      <c r="I2" s="12"/>
      <c r="J2" s="14">
        <f>H2-I2</f>
        <v>0</v>
      </c>
      <c r="L2" s="34">
        <f>K2-H2</f>
        <v>0</v>
      </c>
    </row>
    <row r="3" spans="1:12" ht="15.75" x14ac:dyDescent="0.25">
      <c r="B3" s="9">
        <v>3.5</v>
      </c>
      <c r="C3" s="10" t="s">
        <v>12</v>
      </c>
      <c r="D3" s="11"/>
      <c r="E3" s="36">
        <v>0</v>
      </c>
      <c r="F3" s="36">
        <v>0</v>
      </c>
      <c r="G3" s="36">
        <v>0</v>
      </c>
      <c r="H3" s="13">
        <f t="shared" ref="H3:H66" si="0">D3+E3+F3+G3</f>
        <v>0</v>
      </c>
      <c r="I3" s="12"/>
      <c r="J3" s="14">
        <f t="shared" ref="J3:J55" si="1">H3-I3</f>
        <v>0</v>
      </c>
      <c r="L3" s="34">
        <f t="shared" ref="L3:L66" si="2">K3-H3</f>
        <v>0</v>
      </c>
    </row>
    <row r="4" spans="1:12" ht="15.75" x14ac:dyDescent="0.25">
      <c r="A4">
        <v>511908</v>
      </c>
      <c r="B4" s="9">
        <v>3030</v>
      </c>
      <c r="C4" s="10" t="s">
        <v>12</v>
      </c>
      <c r="D4" s="11">
        <v>12</v>
      </c>
      <c r="E4" s="36">
        <v>5</v>
      </c>
      <c r="F4" s="36">
        <v>10</v>
      </c>
      <c r="G4" s="36">
        <v>12</v>
      </c>
      <c r="H4" s="13">
        <f t="shared" si="0"/>
        <v>39</v>
      </c>
      <c r="I4" s="12"/>
      <c r="J4" s="14">
        <f t="shared" si="1"/>
        <v>39</v>
      </c>
      <c r="K4">
        <v>39</v>
      </c>
      <c r="L4" s="34">
        <f t="shared" si="2"/>
        <v>0</v>
      </c>
    </row>
    <row r="5" spans="1:12" ht="15.75" x14ac:dyDescent="0.25">
      <c r="A5">
        <v>509671</v>
      </c>
      <c r="B5" s="9">
        <v>3030</v>
      </c>
      <c r="C5" s="10" t="s">
        <v>13</v>
      </c>
      <c r="D5" s="11">
        <v>18</v>
      </c>
      <c r="E5" s="36">
        <v>5</v>
      </c>
      <c r="F5" s="36">
        <v>10</v>
      </c>
      <c r="G5" s="36">
        <v>12</v>
      </c>
      <c r="H5" s="13">
        <f t="shared" si="0"/>
        <v>45</v>
      </c>
      <c r="I5" s="12"/>
      <c r="J5" s="14">
        <f t="shared" si="1"/>
        <v>45</v>
      </c>
      <c r="K5">
        <v>45</v>
      </c>
      <c r="L5" s="34">
        <f t="shared" si="2"/>
        <v>0</v>
      </c>
    </row>
    <row r="6" spans="1:12" ht="15.75" x14ac:dyDescent="0.25">
      <c r="A6">
        <v>500179</v>
      </c>
      <c r="B6" s="9">
        <v>3030</v>
      </c>
      <c r="C6" s="10" t="s">
        <v>11</v>
      </c>
      <c r="D6" s="11">
        <v>349</v>
      </c>
      <c r="E6" s="36">
        <v>37</v>
      </c>
      <c r="F6" s="36">
        <v>45</v>
      </c>
      <c r="G6" s="36">
        <v>9</v>
      </c>
      <c r="H6" s="13">
        <f t="shared" si="0"/>
        <v>440</v>
      </c>
      <c r="I6" s="12"/>
      <c r="J6" s="14">
        <f t="shared" si="1"/>
        <v>440</v>
      </c>
      <c r="K6">
        <v>440</v>
      </c>
      <c r="L6" s="34">
        <f t="shared" si="2"/>
        <v>0</v>
      </c>
    </row>
    <row r="7" spans="1:12" ht="15.75" x14ac:dyDescent="0.25">
      <c r="A7">
        <v>501109</v>
      </c>
      <c r="B7" s="9">
        <v>3030</v>
      </c>
      <c r="C7" s="10" t="s">
        <v>14</v>
      </c>
      <c r="D7" s="11">
        <v>10</v>
      </c>
      <c r="E7" s="36">
        <v>0</v>
      </c>
      <c r="F7" s="36">
        <v>4</v>
      </c>
      <c r="G7" s="36">
        <v>3</v>
      </c>
      <c r="H7" s="13">
        <f t="shared" si="0"/>
        <v>17</v>
      </c>
      <c r="I7" s="12"/>
      <c r="J7" s="14">
        <f t="shared" si="1"/>
        <v>17</v>
      </c>
      <c r="K7">
        <v>17</v>
      </c>
      <c r="L7" s="34">
        <f t="shared" si="2"/>
        <v>0</v>
      </c>
    </row>
    <row r="8" spans="1:12" ht="15.75" x14ac:dyDescent="0.25">
      <c r="A8">
        <v>501244</v>
      </c>
      <c r="B8" s="9">
        <v>3030</v>
      </c>
      <c r="C8" s="10" t="s">
        <v>15</v>
      </c>
      <c r="D8" s="11"/>
      <c r="E8" s="36">
        <v>0</v>
      </c>
      <c r="F8" s="36">
        <v>0</v>
      </c>
      <c r="G8" s="36">
        <v>0</v>
      </c>
      <c r="H8" s="13">
        <f t="shared" si="0"/>
        <v>0</v>
      </c>
      <c r="I8" s="12"/>
      <c r="J8" s="14">
        <f t="shared" si="1"/>
        <v>0</v>
      </c>
      <c r="L8" s="34">
        <f t="shared" si="2"/>
        <v>0</v>
      </c>
    </row>
    <row r="9" spans="1:12" ht="15.75" x14ac:dyDescent="0.25">
      <c r="A9">
        <v>501456</v>
      </c>
      <c r="B9" s="9">
        <v>3030</v>
      </c>
      <c r="C9" s="10" t="s">
        <v>16</v>
      </c>
      <c r="D9" s="11"/>
      <c r="E9" s="36">
        <v>0</v>
      </c>
      <c r="F9" s="36">
        <v>0</v>
      </c>
      <c r="G9" s="36">
        <v>0</v>
      </c>
      <c r="H9" s="13">
        <f t="shared" si="0"/>
        <v>0</v>
      </c>
      <c r="I9" s="12"/>
      <c r="J9" s="14">
        <f t="shared" si="1"/>
        <v>0</v>
      </c>
      <c r="L9" s="34">
        <f t="shared" si="2"/>
        <v>0</v>
      </c>
    </row>
    <row r="10" spans="1:12" ht="15.75" x14ac:dyDescent="0.25">
      <c r="A10">
        <v>501540</v>
      </c>
      <c r="B10" s="9">
        <v>3030</v>
      </c>
      <c r="C10" s="10" t="s">
        <v>17</v>
      </c>
      <c r="D10" s="11"/>
      <c r="E10" s="36">
        <v>0</v>
      </c>
      <c r="F10" s="36">
        <v>0</v>
      </c>
      <c r="G10" s="36">
        <v>0</v>
      </c>
      <c r="H10" s="13">
        <f t="shared" si="0"/>
        <v>0</v>
      </c>
      <c r="I10" s="12"/>
      <c r="J10" s="14">
        <f t="shared" si="1"/>
        <v>0</v>
      </c>
      <c r="L10" s="34">
        <f t="shared" si="2"/>
        <v>0</v>
      </c>
    </row>
    <row r="11" spans="1:12" ht="15.75" x14ac:dyDescent="0.25">
      <c r="B11" s="9">
        <v>3030</v>
      </c>
      <c r="C11" s="10" t="s">
        <v>18</v>
      </c>
      <c r="D11" s="11"/>
      <c r="E11" s="36">
        <v>0</v>
      </c>
      <c r="F11" s="36">
        <v>0</v>
      </c>
      <c r="G11" s="36">
        <v>0</v>
      </c>
      <c r="H11" s="13">
        <f t="shared" si="0"/>
        <v>0</v>
      </c>
      <c r="I11" s="12"/>
      <c r="J11" s="14">
        <f t="shared" si="1"/>
        <v>0</v>
      </c>
      <c r="L11" s="34">
        <f t="shared" si="2"/>
        <v>0</v>
      </c>
    </row>
    <row r="12" spans="1:12" ht="15.75" x14ac:dyDescent="0.25">
      <c r="B12" s="9">
        <v>2250</v>
      </c>
      <c r="C12" s="10" t="s">
        <v>11</v>
      </c>
      <c r="D12" s="11"/>
      <c r="E12" s="36">
        <v>0</v>
      </c>
      <c r="F12" s="36">
        <v>0</v>
      </c>
      <c r="G12" s="36">
        <v>0</v>
      </c>
      <c r="H12" s="13">
        <f t="shared" si="0"/>
        <v>0</v>
      </c>
      <c r="I12" s="12"/>
      <c r="J12" s="14">
        <f t="shared" si="1"/>
        <v>0</v>
      </c>
      <c r="L12" s="34">
        <f t="shared" si="2"/>
        <v>0</v>
      </c>
    </row>
    <row r="13" spans="1:12" ht="15.75" x14ac:dyDescent="0.25">
      <c r="B13" s="9">
        <v>2250</v>
      </c>
      <c r="C13" s="10" t="s">
        <v>19</v>
      </c>
      <c r="D13" s="11"/>
      <c r="E13" s="36">
        <v>0</v>
      </c>
      <c r="F13" s="36">
        <v>0</v>
      </c>
      <c r="G13" s="36">
        <v>0</v>
      </c>
      <c r="H13" s="13">
        <f t="shared" si="0"/>
        <v>0</v>
      </c>
      <c r="I13" s="12"/>
      <c r="J13" s="14">
        <f t="shared" si="1"/>
        <v>0</v>
      </c>
      <c r="L13" s="34">
        <f t="shared" si="2"/>
        <v>0</v>
      </c>
    </row>
    <row r="14" spans="1:12" ht="15.75" x14ac:dyDescent="0.25">
      <c r="B14" s="9">
        <v>1800</v>
      </c>
      <c r="C14" s="10" t="s">
        <v>20</v>
      </c>
      <c r="D14" s="11"/>
      <c r="E14" s="36">
        <v>0</v>
      </c>
      <c r="F14" s="36">
        <v>0</v>
      </c>
      <c r="G14" s="36">
        <v>0</v>
      </c>
      <c r="H14" s="13">
        <f t="shared" si="0"/>
        <v>0</v>
      </c>
      <c r="I14" s="12"/>
      <c r="J14" s="14">
        <f t="shared" si="1"/>
        <v>0</v>
      </c>
      <c r="L14" s="34">
        <f t="shared" si="2"/>
        <v>0</v>
      </c>
    </row>
    <row r="15" spans="1:12" ht="15" customHeight="1" x14ac:dyDescent="0.25">
      <c r="B15" s="9">
        <v>1800</v>
      </c>
      <c r="C15" s="10" t="s">
        <v>21</v>
      </c>
      <c r="D15" s="11"/>
      <c r="E15" s="36">
        <v>0</v>
      </c>
      <c r="F15" s="36">
        <v>0</v>
      </c>
      <c r="G15" s="36">
        <v>0</v>
      </c>
      <c r="H15" s="13">
        <f t="shared" si="0"/>
        <v>0</v>
      </c>
      <c r="I15" s="12"/>
      <c r="J15" s="14">
        <f t="shared" si="1"/>
        <v>0</v>
      </c>
      <c r="L15" s="34">
        <f t="shared" si="2"/>
        <v>0</v>
      </c>
    </row>
    <row r="16" spans="1:12" ht="15.75" x14ac:dyDescent="0.25">
      <c r="A16">
        <v>500390</v>
      </c>
      <c r="B16" s="9">
        <v>1.3</v>
      </c>
      <c r="C16" s="10" t="s">
        <v>22</v>
      </c>
      <c r="D16" s="11">
        <v>49</v>
      </c>
      <c r="E16" s="36">
        <v>30</v>
      </c>
      <c r="F16" s="36">
        <v>6</v>
      </c>
      <c r="G16" s="36">
        <v>26</v>
      </c>
      <c r="H16" s="13">
        <f t="shared" si="0"/>
        <v>111</v>
      </c>
      <c r="I16" s="12"/>
      <c r="J16" s="14">
        <f t="shared" si="1"/>
        <v>111</v>
      </c>
      <c r="K16">
        <v>111</v>
      </c>
      <c r="L16" s="34">
        <f t="shared" si="2"/>
        <v>0</v>
      </c>
    </row>
    <row r="17" spans="1:12" ht="15.75" x14ac:dyDescent="0.25">
      <c r="B17" s="9">
        <v>1.3</v>
      </c>
      <c r="C17" s="10" t="s">
        <v>23</v>
      </c>
      <c r="D17" s="11"/>
      <c r="E17" s="36">
        <v>0</v>
      </c>
      <c r="F17" s="36">
        <v>0</v>
      </c>
      <c r="G17" s="36">
        <v>0</v>
      </c>
      <c r="H17" s="13">
        <f t="shared" si="0"/>
        <v>0</v>
      </c>
      <c r="I17" s="12"/>
      <c r="J17" s="14">
        <f t="shared" si="1"/>
        <v>0</v>
      </c>
      <c r="L17" s="34">
        <f t="shared" si="2"/>
        <v>0</v>
      </c>
    </row>
    <row r="18" spans="1:12" ht="15.75" x14ac:dyDescent="0.25">
      <c r="B18" s="9">
        <v>1.3</v>
      </c>
      <c r="C18" s="10" t="s">
        <v>24</v>
      </c>
      <c r="D18" s="11"/>
      <c r="E18" s="36">
        <v>0</v>
      </c>
      <c r="F18" s="36">
        <v>0</v>
      </c>
      <c r="G18" s="36">
        <v>0</v>
      </c>
      <c r="H18" s="13">
        <f t="shared" si="0"/>
        <v>0</v>
      </c>
      <c r="I18" s="12"/>
      <c r="J18" s="14">
        <f t="shared" si="1"/>
        <v>0</v>
      </c>
      <c r="L18" s="34">
        <f t="shared" si="2"/>
        <v>0</v>
      </c>
    </row>
    <row r="19" spans="1:12" ht="15.75" x14ac:dyDescent="0.25">
      <c r="A19">
        <v>511927</v>
      </c>
      <c r="B19" s="9">
        <v>1.3</v>
      </c>
      <c r="C19" s="10" t="s">
        <v>25</v>
      </c>
      <c r="D19" s="11">
        <v>49</v>
      </c>
      <c r="E19" s="36">
        <v>10</v>
      </c>
      <c r="F19" s="36">
        <v>10</v>
      </c>
      <c r="G19" s="36">
        <v>12</v>
      </c>
      <c r="H19" s="13">
        <f t="shared" si="0"/>
        <v>81</v>
      </c>
      <c r="I19" s="12"/>
      <c r="J19" s="14">
        <f t="shared" si="1"/>
        <v>81</v>
      </c>
      <c r="K19">
        <v>81</v>
      </c>
      <c r="L19" s="34">
        <f t="shared" si="2"/>
        <v>0</v>
      </c>
    </row>
    <row r="20" spans="1:12" ht="15.75" x14ac:dyDescent="0.25">
      <c r="A20">
        <v>509919</v>
      </c>
      <c r="B20" s="9">
        <v>1.3</v>
      </c>
      <c r="C20" s="10" t="s">
        <v>26</v>
      </c>
      <c r="D20" s="11">
        <v>53</v>
      </c>
      <c r="E20" s="36">
        <v>5</v>
      </c>
      <c r="F20" s="36">
        <v>5</v>
      </c>
      <c r="G20" s="36">
        <v>12</v>
      </c>
      <c r="H20" s="13">
        <f t="shared" si="0"/>
        <v>75</v>
      </c>
      <c r="I20" s="12"/>
      <c r="J20" s="14">
        <f t="shared" si="1"/>
        <v>75</v>
      </c>
      <c r="K20">
        <v>75</v>
      </c>
      <c r="L20" s="34">
        <f t="shared" si="2"/>
        <v>0</v>
      </c>
    </row>
    <row r="21" spans="1:12" ht="15.75" x14ac:dyDescent="0.25">
      <c r="B21" s="9">
        <v>1300</v>
      </c>
      <c r="C21" s="10" t="s">
        <v>27</v>
      </c>
      <c r="D21" s="11"/>
      <c r="E21" s="36">
        <v>0</v>
      </c>
      <c r="F21" s="36">
        <v>0</v>
      </c>
      <c r="G21" s="36">
        <v>0</v>
      </c>
      <c r="H21" s="13">
        <f t="shared" si="0"/>
        <v>0</v>
      </c>
      <c r="I21" s="12"/>
      <c r="J21" s="14">
        <f t="shared" si="1"/>
        <v>0</v>
      </c>
      <c r="L21" s="34">
        <f t="shared" si="2"/>
        <v>0</v>
      </c>
    </row>
    <row r="22" spans="1:12" ht="15.75" x14ac:dyDescent="0.25">
      <c r="A22">
        <v>500094</v>
      </c>
      <c r="B22" s="9">
        <v>1000</v>
      </c>
      <c r="C22" s="10" t="s">
        <v>11</v>
      </c>
      <c r="D22" s="11"/>
      <c r="E22" s="36">
        <v>0</v>
      </c>
      <c r="F22" s="36">
        <v>0</v>
      </c>
      <c r="G22" s="36">
        <v>0</v>
      </c>
      <c r="H22" s="13">
        <f t="shared" si="0"/>
        <v>0</v>
      </c>
      <c r="I22" s="12"/>
      <c r="J22" s="14">
        <f t="shared" si="1"/>
        <v>0</v>
      </c>
      <c r="L22" s="34">
        <f t="shared" si="2"/>
        <v>0</v>
      </c>
    </row>
    <row r="23" spans="1:12" ht="15.75" x14ac:dyDescent="0.25">
      <c r="A23">
        <v>599038</v>
      </c>
      <c r="B23" s="9">
        <v>625</v>
      </c>
      <c r="C23" s="10" t="s">
        <v>28</v>
      </c>
      <c r="D23" s="11"/>
      <c r="E23" s="36">
        <v>0</v>
      </c>
      <c r="F23" s="36">
        <v>0</v>
      </c>
      <c r="G23" s="36">
        <v>0</v>
      </c>
      <c r="H23" s="13">
        <f t="shared" si="0"/>
        <v>0</v>
      </c>
      <c r="I23" s="12"/>
      <c r="J23" s="14">
        <f t="shared" si="1"/>
        <v>0</v>
      </c>
      <c r="L23" s="34">
        <f t="shared" si="2"/>
        <v>0</v>
      </c>
    </row>
    <row r="24" spans="1:12" ht="15.75" x14ac:dyDescent="0.25">
      <c r="A24">
        <v>500303</v>
      </c>
      <c r="B24" s="9">
        <v>625</v>
      </c>
      <c r="C24" s="10" t="s">
        <v>29</v>
      </c>
      <c r="D24" s="11">
        <v>15</v>
      </c>
      <c r="E24" s="36">
        <v>15</v>
      </c>
      <c r="F24" s="36">
        <v>4</v>
      </c>
      <c r="G24" s="36">
        <v>5</v>
      </c>
      <c r="H24" s="13">
        <f t="shared" si="0"/>
        <v>39</v>
      </c>
      <c r="I24" s="12"/>
      <c r="J24" s="14">
        <f t="shared" si="1"/>
        <v>39</v>
      </c>
      <c r="K24">
        <v>39</v>
      </c>
      <c r="L24" s="34">
        <f t="shared" si="2"/>
        <v>0</v>
      </c>
    </row>
    <row r="25" spans="1:12" ht="15.75" x14ac:dyDescent="0.25">
      <c r="A25">
        <v>599037</v>
      </c>
      <c r="B25" s="9">
        <v>625</v>
      </c>
      <c r="C25" s="10" t="s">
        <v>30</v>
      </c>
      <c r="D25" s="11"/>
      <c r="E25" s="36">
        <v>0</v>
      </c>
      <c r="F25" s="36">
        <v>0</v>
      </c>
      <c r="G25" s="36">
        <v>0</v>
      </c>
      <c r="H25" s="13">
        <f t="shared" si="0"/>
        <v>0</v>
      </c>
      <c r="I25" s="12"/>
      <c r="J25" s="14">
        <f t="shared" si="1"/>
        <v>0</v>
      </c>
      <c r="L25" s="34">
        <f t="shared" si="2"/>
        <v>0</v>
      </c>
    </row>
    <row r="26" spans="1:12" ht="15.75" x14ac:dyDescent="0.25">
      <c r="A26">
        <v>599036</v>
      </c>
      <c r="B26" s="9">
        <v>625</v>
      </c>
      <c r="C26" s="10" t="s">
        <v>31</v>
      </c>
      <c r="D26" s="11"/>
      <c r="E26" s="36">
        <v>0</v>
      </c>
      <c r="F26" s="36">
        <v>0</v>
      </c>
      <c r="G26" s="36">
        <v>0</v>
      </c>
      <c r="H26" s="13">
        <f t="shared" si="0"/>
        <v>0</v>
      </c>
      <c r="I26" s="12"/>
      <c r="J26" s="14">
        <f t="shared" si="1"/>
        <v>0</v>
      </c>
      <c r="L26" s="34">
        <f t="shared" si="2"/>
        <v>0</v>
      </c>
    </row>
    <row r="27" spans="1:12" ht="15.75" x14ac:dyDescent="0.25">
      <c r="A27">
        <v>599035</v>
      </c>
      <c r="B27" s="9">
        <v>625</v>
      </c>
      <c r="C27" s="10" t="s">
        <v>32</v>
      </c>
      <c r="D27" s="11">
        <v>37</v>
      </c>
      <c r="E27" s="36">
        <v>10</v>
      </c>
      <c r="F27" s="36">
        <v>5</v>
      </c>
      <c r="G27" s="36">
        <v>10</v>
      </c>
      <c r="H27" s="13">
        <f t="shared" si="0"/>
        <v>62</v>
      </c>
      <c r="I27" s="12"/>
      <c r="J27" s="14">
        <f t="shared" si="1"/>
        <v>62</v>
      </c>
      <c r="K27">
        <v>62</v>
      </c>
      <c r="L27" s="34">
        <f t="shared" si="2"/>
        <v>0</v>
      </c>
    </row>
    <row r="28" spans="1:12" ht="15.75" x14ac:dyDescent="0.25">
      <c r="B28" s="9">
        <v>625</v>
      </c>
      <c r="C28" s="10" t="s">
        <v>33</v>
      </c>
      <c r="D28" s="11"/>
      <c r="E28" s="36">
        <v>0</v>
      </c>
      <c r="F28" s="36">
        <v>0</v>
      </c>
      <c r="G28" s="36">
        <v>0</v>
      </c>
      <c r="H28" s="13">
        <f t="shared" si="0"/>
        <v>0</v>
      </c>
      <c r="I28" s="12"/>
      <c r="J28" s="14">
        <f t="shared" si="1"/>
        <v>0</v>
      </c>
      <c r="L28" s="34">
        <f t="shared" si="2"/>
        <v>0</v>
      </c>
    </row>
    <row r="29" spans="1:12" ht="15.75" x14ac:dyDescent="0.25">
      <c r="B29" s="9">
        <v>625</v>
      </c>
      <c r="C29" s="10" t="s">
        <v>27</v>
      </c>
      <c r="D29" s="11"/>
      <c r="E29" s="36">
        <v>0</v>
      </c>
      <c r="F29" s="36">
        <v>0</v>
      </c>
      <c r="G29" s="36">
        <v>0</v>
      </c>
      <c r="H29" s="13">
        <f t="shared" si="0"/>
        <v>0</v>
      </c>
      <c r="I29" s="12"/>
      <c r="J29" s="14">
        <f t="shared" si="1"/>
        <v>0</v>
      </c>
      <c r="L29" s="34">
        <f t="shared" si="2"/>
        <v>0</v>
      </c>
    </row>
    <row r="30" spans="1:12" ht="15.75" x14ac:dyDescent="0.25">
      <c r="B30" s="15">
        <v>400</v>
      </c>
      <c r="C30" s="16" t="s">
        <v>11</v>
      </c>
      <c r="D30" s="11"/>
      <c r="E30" s="36">
        <v>0</v>
      </c>
      <c r="F30" s="36">
        <v>0</v>
      </c>
      <c r="G30" s="36">
        <v>0</v>
      </c>
      <c r="H30" s="13">
        <f t="shared" si="0"/>
        <v>0</v>
      </c>
      <c r="I30" s="12"/>
      <c r="J30" s="14">
        <f t="shared" si="1"/>
        <v>0</v>
      </c>
      <c r="L30" s="34">
        <f t="shared" si="2"/>
        <v>0</v>
      </c>
    </row>
    <row r="31" spans="1:12" ht="15.75" x14ac:dyDescent="0.25">
      <c r="B31" s="9">
        <v>400</v>
      </c>
      <c r="C31" s="10" t="s">
        <v>14</v>
      </c>
      <c r="D31" s="11"/>
      <c r="E31" s="36">
        <v>0</v>
      </c>
      <c r="F31" s="36">
        <v>0</v>
      </c>
      <c r="G31" s="36">
        <v>0</v>
      </c>
      <c r="H31" s="13">
        <f t="shared" si="0"/>
        <v>0</v>
      </c>
      <c r="I31" s="12"/>
      <c r="J31" s="14">
        <f t="shared" si="1"/>
        <v>0</v>
      </c>
      <c r="L31" s="34">
        <f t="shared" si="2"/>
        <v>0</v>
      </c>
    </row>
    <row r="32" spans="1:12" ht="15.75" x14ac:dyDescent="0.25">
      <c r="B32" s="9">
        <v>400</v>
      </c>
      <c r="C32" s="10" t="s">
        <v>16</v>
      </c>
      <c r="D32" s="11"/>
      <c r="E32" s="36">
        <v>0</v>
      </c>
      <c r="F32" s="36">
        <v>0</v>
      </c>
      <c r="G32" s="36">
        <v>0</v>
      </c>
      <c r="H32" s="13">
        <f t="shared" si="0"/>
        <v>0</v>
      </c>
      <c r="I32" s="12"/>
      <c r="J32" s="14">
        <f t="shared" si="1"/>
        <v>0</v>
      </c>
      <c r="L32" s="34">
        <f t="shared" si="2"/>
        <v>0</v>
      </c>
    </row>
    <row r="33" spans="1:12" ht="15.75" x14ac:dyDescent="0.25">
      <c r="A33">
        <v>522495</v>
      </c>
      <c r="B33" s="9">
        <v>360</v>
      </c>
      <c r="C33" s="10" t="s">
        <v>34</v>
      </c>
      <c r="D33" s="11"/>
      <c r="E33" s="36">
        <v>0</v>
      </c>
      <c r="F33" s="36">
        <v>0</v>
      </c>
      <c r="G33" s="36">
        <v>0</v>
      </c>
      <c r="H33" s="13">
        <f t="shared" si="0"/>
        <v>0</v>
      </c>
      <c r="I33" s="12"/>
      <c r="J33" s="14">
        <f t="shared" si="1"/>
        <v>0</v>
      </c>
      <c r="L33" s="34">
        <f t="shared" si="2"/>
        <v>0</v>
      </c>
    </row>
    <row r="34" spans="1:12" ht="15.75" x14ac:dyDescent="0.25">
      <c r="A34">
        <v>501504</v>
      </c>
      <c r="B34" s="9">
        <v>360</v>
      </c>
      <c r="C34" s="10" t="s">
        <v>35</v>
      </c>
      <c r="D34" s="11"/>
      <c r="E34" s="36">
        <v>0</v>
      </c>
      <c r="F34" s="36">
        <v>0</v>
      </c>
      <c r="G34" s="36">
        <v>0</v>
      </c>
      <c r="H34" s="13">
        <f t="shared" si="0"/>
        <v>0</v>
      </c>
      <c r="I34" s="12"/>
      <c r="J34" s="14">
        <f t="shared" si="1"/>
        <v>0</v>
      </c>
      <c r="L34" s="34">
        <f t="shared" si="2"/>
        <v>0</v>
      </c>
    </row>
    <row r="35" spans="1:12" ht="15.75" x14ac:dyDescent="0.25">
      <c r="A35">
        <v>500713</v>
      </c>
      <c r="B35" s="9">
        <v>360</v>
      </c>
      <c r="C35" s="10" t="s">
        <v>36</v>
      </c>
      <c r="D35" s="11"/>
      <c r="E35" s="36">
        <v>0</v>
      </c>
      <c r="F35" s="36">
        <v>0</v>
      </c>
      <c r="G35" s="36">
        <v>0</v>
      </c>
      <c r="H35" s="13">
        <f t="shared" si="0"/>
        <v>0</v>
      </c>
      <c r="I35" s="12"/>
      <c r="J35" s="14">
        <f t="shared" si="1"/>
        <v>0</v>
      </c>
      <c r="L35" s="34">
        <f t="shared" si="2"/>
        <v>0</v>
      </c>
    </row>
    <row r="36" spans="1:12" ht="15.75" x14ac:dyDescent="0.25">
      <c r="A36">
        <v>523271</v>
      </c>
      <c r="B36" s="9">
        <v>400</v>
      </c>
      <c r="C36" s="17" t="s">
        <v>20</v>
      </c>
      <c r="D36" s="11">
        <v>1</v>
      </c>
      <c r="E36" s="36">
        <v>0</v>
      </c>
      <c r="F36" s="36">
        <v>0</v>
      </c>
      <c r="G36" s="36">
        <v>0</v>
      </c>
      <c r="H36" s="13">
        <f t="shared" si="0"/>
        <v>1</v>
      </c>
      <c r="I36" s="12"/>
      <c r="J36" s="14">
        <f t="shared" si="1"/>
        <v>1</v>
      </c>
      <c r="K36">
        <v>1</v>
      </c>
      <c r="L36" s="34">
        <f t="shared" si="2"/>
        <v>0</v>
      </c>
    </row>
    <row r="37" spans="1:12" ht="15.75" x14ac:dyDescent="0.25">
      <c r="A37">
        <v>521721</v>
      </c>
      <c r="B37" s="9">
        <v>400</v>
      </c>
      <c r="C37" s="17" t="s">
        <v>13</v>
      </c>
      <c r="D37" s="11">
        <v>102</v>
      </c>
      <c r="E37" s="36">
        <v>11</v>
      </c>
      <c r="F37" s="36">
        <v>12</v>
      </c>
      <c r="G37" s="36">
        <v>30</v>
      </c>
      <c r="H37" s="13">
        <f t="shared" si="0"/>
        <v>155</v>
      </c>
      <c r="I37" s="12"/>
      <c r="J37" s="14">
        <f t="shared" si="1"/>
        <v>155</v>
      </c>
      <c r="K37">
        <v>155</v>
      </c>
      <c r="L37" s="34">
        <f t="shared" si="2"/>
        <v>0</v>
      </c>
    </row>
    <row r="38" spans="1:12" ht="15.75" x14ac:dyDescent="0.25">
      <c r="B38" s="9">
        <v>360</v>
      </c>
      <c r="C38" s="10" t="s">
        <v>27</v>
      </c>
      <c r="D38" s="11"/>
      <c r="E38" s="36">
        <v>0</v>
      </c>
      <c r="F38" s="36">
        <v>0</v>
      </c>
      <c r="G38" s="36">
        <v>0</v>
      </c>
      <c r="H38" s="13">
        <f t="shared" si="0"/>
        <v>0</v>
      </c>
      <c r="I38" s="12"/>
      <c r="J38" s="14">
        <f t="shared" si="1"/>
        <v>0</v>
      </c>
      <c r="L38" s="34">
        <f t="shared" si="2"/>
        <v>0</v>
      </c>
    </row>
    <row r="39" spans="1:12" ht="15.75" x14ac:dyDescent="0.25">
      <c r="B39" s="9">
        <v>360</v>
      </c>
      <c r="C39" s="10" t="s">
        <v>37</v>
      </c>
      <c r="D39" s="11"/>
      <c r="E39" s="36">
        <v>0</v>
      </c>
      <c r="F39" s="36">
        <v>0</v>
      </c>
      <c r="G39" s="36">
        <v>0</v>
      </c>
      <c r="H39" s="13">
        <f t="shared" si="0"/>
        <v>0</v>
      </c>
      <c r="I39" s="12"/>
      <c r="J39" s="14">
        <f t="shared" si="1"/>
        <v>0</v>
      </c>
      <c r="L39" s="34">
        <f t="shared" si="2"/>
        <v>0</v>
      </c>
    </row>
    <row r="40" spans="1:12" ht="15.75" x14ac:dyDescent="0.25">
      <c r="B40" s="9">
        <v>360</v>
      </c>
      <c r="C40" s="10" t="s">
        <v>38</v>
      </c>
      <c r="D40" s="11"/>
      <c r="E40" s="36">
        <v>0</v>
      </c>
      <c r="F40" s="36">
        <v>0</v>
      </c>
      <c r="G40" s="36">
        <v>0</v>
      </c>
      <c r="H40" s="13">
        <f t="shared" si="0"/>
        <v>0</v>
      </c>
      <c r="I40" s="12"/>
      <c r="J40" s="14">
        <f t="shared" si="1"/>
        <v>0</v>
      </c>
      <c r="L40" s="34">
        <f t="shared" si="2"/>
        <v>0</v>
      </c>
    </row>
    <row r="41" spans="1:12" ht="15.75" x14ac:dyDescent="0.25">
      <c r="B41" s="9">
        <v>375</v>
      </c>
      <c r="C41" s="10" t="s">
        <v>39</v>
      </c>
      <c r="D41" s="11"/>
      <c r="E41" s="36">
        <v>0</v>
      </c>
      <c r="F41" s="36">
        <v>0</v>
      </c>
      <c r="G41" s="36">
        <v>0</v>
      </c>
      <c r="H41" s="13">
        <f t="shared" si="0"/>
        <v>0</v>
      </c>
      <c r="I41" s="12"/>
      <c r="J41" s="14">
        <f t="shared" si="1"/>
        <v>0</v>
      </c>
      <c r="L41" s="34">
        <f t="shared" si="2"/>
        <v>0</v>
      </c>
    </row>
    <row r="42" spans="1:12" ht="15.75" x14ac:dyDescent="0.25">
      <c r="A42">
        <v>598908</v>
      </c>
      <c r="B42" s="9">
        <v>355</v>
      </c>
      <c r="C42" s="10" t="s">
        <v>40</v>
      </c>
      <c r="D42" s="11"/>
      <c r="E42" s="36">
        <v>0</v>
      </c>
      <c r="F42" s="36">
        <v>0</v>
      </c>
      <c r="G42" s="36">
        <v>0</v>
      </c>
      <c r="H42" s="13">
        <f t="shared" si="0"/>
        <v>0</v>
      </c>
      <c r="I42" s="12"/>
      <c r="J42" s="14">
        <f t="shared" si="1"/>
        <v>0</v>
      </c>
      <c r="L42" s="34">
        <f t="shared" si="2"/>
        <v>0</v>
      </c>
    </row>
    <row r="43" spans="1:12" ht="15.75" x14ac:dyDescent="0.25">
      <c r="A43">
        <v>599149</v>
      </c>
      <c r="B43" s="9">
        <v>300</v>
      </c>
      <c r="C43" s="17" t="s">
        <v>41</v>
      </c>
      <c r="D43" s="11"/>
      <c r="E43" s="36">
        <v>3</v>
      </c>
      <c r="F43" s="36">
        <v>7</v>
      </c>
      <c r="G43" s="36">
        <v>0</v>
      </c>
      <c r="H43" s="13">
        <f t="shared" si="0"/>
        <v>10</v>
      </c>
      <c r="I43" s="12"/>
      <c r="J43" s="14">
        <f t="shared" si="1"/>
        <v>10</v>
      </c>
      <c r="K43">
        <v>10</v>
      </c>
      <c r="L43" s="34">
        <f t="shared" si="2"/>
        <v>0</v>
      </c>
    </row>
    <row r="44" spans="1:12" ht="15.75" x14ac:dyDescent="0.25">
      <c r="B44" s="9">
        <v>355</v>
      </c>
      <c r="C44" s="10" t="s">
        <v>42</v>
      </c>
      <c r="D44" s="11"/>
      <c r="E44" s="36">
        <v>0</v>
      </c>
      <c r="F44" s="36">
        <v>0</v>
      </c>
      <c r="G44" s="36">
        <v>0</v>
      </c>
      <c r="H44" s="13">
        <f t="shared" si="0"/>
        <v>0</v>
      </c>
      <c r="I44" s="12"/>
      <c r="J44" s="14">
        <f t="shared" si="1"/>
        <v>0</v>
      </c>
      <c r="L44" s="34">
        <f t="shared" si="2"/>
        <v>0</v>
      </c>
    </row>
    <row r="45" spans="1:12" ht="15.75" x14ac:dyDescent="0.25">
      <c r="B45" s="9">
        <v>355</v>
      </c>
      <c r="C45" s="10" t="s">
        <v>43</v>
      </c>
      <c r="D45" s="11"/>
      <c r="E45" s="36">
        <v>0</v>
      </c>
      <c r="F45" s="36">
        <v>0</v>
      </c>
      <c r="G45" s="36">
        <v>0</v>
      </c>
      <c r="H45" s="13">
        <f t="shared" si="0"/>
        <v>0</v>
      </c>
      <c r="I45" s="12"/>
      <c r="J45" s="14">
        <f t="shared" si="1"/>
        <v>0</v>
      </c>
      <c r="L45" s="34">
        <f t="shared" si="2"/>
        <v>0</v>
      </c>
    </row>
    <row r="46" spans="1:12" ht="15.75" x14ac:dyDescent="0.25">
      <c r="B46" s="9">
        <v>355</v>
      </c>
      <c r="C46" s="10" t="s">
        <v>44</v>
      </c>
      <c r="D46" s="11"/>
      <c r="E46" s="36">
        <v>0</v>
      </c>
      <c r="F46" s="36">
        <v>0</v>
      </c>
      <c r="G46" s="36">
        <v>0</v>
      </c>
      <c r="H46" s="13">
        <f t="shared" si="0"/>
        <v>0</v>
      </c>
      <c r="I46" s="12"/>
      <c r="J46" s="14">
        <f t="shared" si="1"/>
        <v>0</v>
      </c>
      <c r="L46" s="34">
        <f t="shared" si="2"/>
        <v>0</v>
      </c>
    </row>
    <row r="47" spans="1:12" ht="15.75" x14ac:dyDescent="0.25">
      <c r="B47" s="9">
        <v>355</v>
      </c>
      <c r="C47" s="10" t="s">
        <v>45</v>
      </c>
      <c r="D47" s="11"/>
      <c r="E47" s="36">
        <v>0</v>
      </c>
      <c r="F47" s="36">
        <v>0</v>
      </c>
      <c r="G47" s="36">
        <v>0</v>
      </c>
      <c r="H47" s="13">
        <f t="shared" si="0"/>
        <v>0</v>
      </c>
      <c r="I47" s="12"/>
      <c r="J47" s="14">
        <f t="shared" si="1"/>
        <v>0</v>
      </c>
      <c r="L47" s="34">
        <f t="shared" si="2"/>
        <v>0</v>
      </c>
    </row>
    <row r="48" spans="1:12" ht="15.75" x14ac:dyDescent="0.25">
      <c r="B48" s="9">
        <v>355</v>
      </c>
      <c r="C48" s="10" t="s">
        <v>46</v>
      </c>
      <c r="D48" s="11"/>
      <c r="E48" s="36">
        <v>0</v>
      </c>
      <c r="F48" s="36">
        <v>0</v>
      </c>
      <c r="G48" s="36">
        <v>0</v>
      </c>
      <c r="H48" s="13">
        <f t="shared" si="0"/>
        <v>0</v>
      </c>
      <c r="I48" s="12"/>
      <c r="J48" s="14">
        <f t="shared" si="1"/>
        <v>0</v>
      </c>
      <c r="L48" s="34">
        <f t="shared" si="2"/>
        <v>0</v>
      </c>
    </row>
    <row r="49" spans="1:12" ht="15.75" x14ac:dyDescent="0.25">
      <c r="B49" s="9">
        <v>625</v>
      </c>
      <c r="C49" s="10" t="s">
        <v>41</v>
      </c>
      <c r="D49" s="11"/>
      <c r="E49" s="36">
        <v>0</v>
      </c>
      <c r="F49" s="36">
        <v>0</v>
      </c>
      <c r="G49" s="36">
        <v>0</v>
      </c>
      <c r="H49" s="13">
        <f t="shared" si="0"/>
        <v>0</v>
      </c>
      <c r="I49" s="12"/>
      <c r="J49" s="14">
        <f t="shared" si="1"/>
        <v>0</v>
      </c>
      <c r="L49" s="34">
        <f t="shared" si="2"/>
        <v>0</v>
      </c>
    </row>
    <row r="50" spans="1:12" ht="15.75" x14ac:dyDescent="0.25">
      <c r="B50" s="9">
        <v>625</v>
      </c>
      <c r="C50" s="10" t="s">
        <v>47</v>
      </c>
      <c r="D50" s="11"/>
      <c r="E50" s="36">
        <v>0</v>
      </c>
      <c r="F50" s="36">
        <v>0</v>
      </c>
      <c r="G50" s="36">
        <v>0</v>
      </c>
      <c r="H50" s="13">
        <f t="shared" si="0"/>
        <v>0</v>
      </c>
      <c r="I50" s="12"/>
      <c r="J50" s="14">
        <f t="shared" si="1"/>
        <v>0</v>
      </c>
      <c r="L50" s="34">
        <f t="shared" si="2"/>
        <v>0</v>
      </c>
    </row>
    <row r="51" spans="1:12" ht="15.75" x14ac:dyDescent="0.25">
      <c r="A51">
        <v>517209</v>
      </c>
      <c r="B51" s="18">
        <v>360</v>
      </c>
      <c r="C51" s="10" t="s">
        <v>47</v>
      </c>
      <c r="D51" s="11">
        <v>191</v>
      </c>
      <c r="E51" s="36">
        <v>7</v>
      </c>
      <c r="F51" s="36">
        <v>10</v>
      </c>
      <c r="G51" s="36">
        <v>10</v>
      </c>
      <c r="H51" s="13">
        <f t="shared" si="0"/>
        <v>218</v>
      </c>
      <c r="I51" s="12"/>
      <c r="J51" s="14">
        <f t="shared" si="1"/>
        <v>218</v>
      </c>
      <c r="K51">
        <v>218</v>
      </c>
      <c r="L51" s="34">
        <f t="shared" si="2"/>
        <v>0</v>
      </c>
    </row>
    <row r="52" spans="1:12" ht="15.75" x14ac:dyDescent="0.25">
      <c r="B52" s="18">
        <v>625</v>
      </c>
      <c r="C52" s="10" t="s">
        <v>48</v>
      </c>
      <c r="D52" s="11"/>
      <c r="E52" s="36">
        <v>0</v>
      </c>
      <c r="F52" s="36">
        <v>0</v>
      </c>
      <c r="G52" s="36">
        <v>0</v>
      </c>
      <c r="H52" s="13">
        <f t="shared" si="0"/>
        <v>0</v>
      </c>
      <c r="I52" s="12"/>
      <c r="J52" s="14">
        <f t="shared" si="1"/>
        <v>0</v>
      </c>
      <c r="L52" s="34">
        <f t="shared" si="2"/>
        <v>0</v>
      </c>
    </row>
    <row r="53" spans="1:12" ht="15.75" x14ac:dyDescent="0.25">
      <c r="A53">
        <v>522919</v>
      </c>
      <c r="B53" s="19">
        <v>625</v>
      </c>
      <c r="C53" s="17" t="s">
        <v>49</v>
      </c>
      <c r="D53" s="11">
        <v>5</v>
      </c>
      <c r="E53" s="36">
        <v>0</v>
      </c>
      <c r="F53" s="36">
        <v>30</v>
      </c>
      <c r="G53" s="36">
        <v>15</v>
      </c>
      <c r="H53" s="13">
        <f t="shared" si="0"/>
        <v>50</v>
      </c>
      <c r="I53" s="12"/>
      <c r="J53" s="14">
        <f>H53-I53</f>
        <v>50</v>
      </c>
      <c r="K53">
        <v>50</v>
      </c>
      <c r="L53" s="34">
        <f t="shared" si="2"/>
        <v>0</v>
      </c>
    </row>
    <row r="54" spans="1:12" ht="15.75" x14ac:dyDescent="0.25">
      <c r="A54">
        <v>522918</v>
      </c>
      <c r="B54" s="18">
        <v>375</v>
      </c>
      <c r="C54" s="10" t="s">
        <v>48</v>
      </c>
      <c r="D54" s="11">
        <v>82</v>
      </c>
      <c r="E54" s="36">
        <v>0</v>
      </c>
      <c r="F54" s="36">
        <v>33</v>
      </c>
      <c r="G54" s="36">
        <v>10</v>
      </c>
      <c r="H54" s="13">
        <f t="shared" si="0"/>
        <v>125</v>
      </c>
      <c r="I54" s="12"/>
      <c r="J54" s="14">
        <f t="shared" si="1"/>
        <v>125</v>
      </c>
      <c r="K54">
        <v>125</v>
      </c>
      <c r="L54" s="34">
        <f t="shared" si="2"/>
        <v>0</v>
      </c>
    </row>
    <row r="55" spans="1:12" ht="15.75" x14ac:dyDescent="0.25">
      <c r="B55" s="20">
        <v>375</v>
      </c>
      <c r="C55" s="21" t="s">
        <v>50</v>
      </c>
      <c r="D55" s="11"/>
      <c r="E55" s="36">
        <v>0</v>
      </c>
      <c r="F55" s="36">
        <v>0</v>
      </c>
      <c r="G55" s="36">
        <v>0</v>
      </c>
      <c r="H55" s="13">
        <f t="shared" si="0"/>
        <v>0</v>
      </c>
      <c r="I55" s="12"/>
      <c r="J55" s="14">
        <f t="shared" si="1"/>
        <v>0</v>
      </c>
      <c r="L55" s="34">
        <f t="shared" si="2"/>
        <v>0</v>
      </c>
    </row>
    <row r="56" spans="1:12" ht="15.75" x14ac:dyDescent="0.25">
      <c r="A56">
        <v>522920</v>
      </c>
      <c r="B56" s="22">
        <v>1.3</v>
      </c>
      <c r="C56" s="23" t="s">
        <v>51</v>
      </c>
      <c r="D56" s="11"/>
      <c r="E56" s="36">
        <v>0</v>
      </c>
      <c r="F56" s="36">
        <v>0</v>
      </c>
      <c r="G56" s="36">
        <v>0</v>
      </c>
      <c r="H56" s="13">
        <f t="shared" si="0"/>
        <v>0</v>
      </c>
      <c r="I56" s="12"/>
      <c r="J56" s="14">
        <f>H56-I56</f>
        <v>0</v>
      </c>
      <c r="L56" s="34">
        <f t="shared" si="2"/>
        <v>0</v>
      </c>
    </row>
    <row r="57" spans="1:12" ht="15.75" x14ac:dyDescent="0.25">
      <c r="A57">
        <v>523533</v>
      </c>
      <c r="B57" s="22">
        <v>1000</v>
      </c>
      <c r="C57" s="23" t="s">
        <v>48</v>
      </c>
      <c r="D57" s="11">
        <v>51</v>
      </c>
      <c r="E57" s="36">
        <v>6</v>
      </c>
      <c r="F57" s="36">
        <v>10</v>
      </c>
      <c r="G57" s="36">
        <v>20</v>
      </c>
      <c r="H57" s="13">
        <f t="shared" si="0"/>
        <v>87</v>
      </c>
      <c r="I57" s="12"/>
      <c r="J57" s="14">
        <f>H57-I57</f>
        <v>87</v>
      </c>
      <c r="K57">
        <v>87</v>
      </c>
      <c r="L57" s="34">
        <f t="shared" si="2"/>
        <v>0</v>
      </c>
    </row>
    <row r="58" spans="1:12" ht="15.75" x14ac:dyDescent="0.25">
      <c r="B58" s="9">
        <v>3300</v>
      </c>
      <c r="C58" s="10" t="s">
        <v>48</v>
      </c>
      <c r="D58" s="11"/>
      <c r="E58" s="36">
        <v>0</v>
      </c>
      <c r="F58" s="36">
        <v>0</v>
      </c>
      <c r="G58" s="36">
        <v>0</v>
      </c>
      <c r="H58" s="13">
        <f t="shared" si="0"/>
        <v>0</v>
      </c>
      <c r="I58" s="12"/>
      <c r="J58" s="14">
        <f t="shared" ref="J58:J121" si="3">H58-I58</f>
        <v>0</v>
      </c>
      <c r="L58" s="34">
        <f t="shared" si="2"/>
        <v>0</v>
      </c>
    </row>
    <row r="59" spans="1:12" ht="15.75" x14ac:dyDescent="0.25">
      <c r="A59">
        <v>598820</v>
      </c>
      <c r="B59" s="18">
        <v>145</v>
      </c>
      <c r="C59" s="10" t="s">
        <v>52</v>
      </c>
      <c r="D59" s="11"/>
      <c r="E59" s="36">
        <v>0</v>
      </c>
      <c r="F59" s="36">
        <v>0</v>
      </c>
      <c r="G59" s="36">
        <v>0</v>
      </c>
      <c r="H59" s="13">
        <f t="shared" si="0"/>
        <v>0</v>
      </c>
      <c r="I59" s="12"/>
      <c r="J59" s="14">
        <f t="shared" si="3"/>
        <v>0</v>
      </c>
      <c r="L59" s="34">
        <f t="shared" si="2"/>
        <v>0</v>
      </c>
    </row>
    <row r="60" spans="1:12" ht="15.75" x14ac:dyDescent="0.25">
      <c r="A60">
        <v>598821</v>
      </c>
      <c r="B60" s="9">
        <v>145</v>
      </c>
      <c r="C60" s="10" t="s">
        <v>53</v>
      </c>
      <c r="D60" s="11">
        <v>1</v>
      </c>
      <c r="E60" s="36">
        <v>0</v>
      </c>
      <c r="F60" s="36">
        <v>5</v>
      </c>
      <c r="G60" s="36">
        <v>11</v>
      </c>
      <c r="H60" s="13">
        <f t="shared" si="0"/>
        <v>17</v>
      </c>
      <c r="I60" s="12"/>
      <c r="J60" s="14">
        <f t="shared" si="3"/>
        <v>17</v>
      </c>
      <c r="K60">
        <v>17</v>
      </c>
      <c r="L60" s="34">
        <f t="shared" si="2"/>
        <v>0</v>
      </c>
    </row>
    <row r="61" spans="1:12" ht="15.75" x14ac:dyDescent="0.25">
      <c r="B61" s="9">
        <v>145</v>
      </c>
      <c r="C61" s="10" t="s">
        <v>54</v>
      </c>
      <c r="D61" s="11"/>
      <c r="E61" s="36">
        <v>0</v>
      </c>
      <c r="F61" s="36">
        <v>0</v>
      </c>
      <c r="G61" s="36">
        <v>0</v>
      </c>
      <c r="H61" s="13">
        <f t="shared" si="0"/>
        <v>0</v>
      </c>
      <c r="I61" s="12"/>
      <c r="J61" s="14">
        <f t="shared" si="3"/>
        <v>0</v>
      </c>
      <c r="L61" s="34">
        <f t="shared" si="2"/>
        <v>0</v>
      </c>
    </row>
    <row r="62" spans="1:12" ht="15.75" x14ac:dyDescent="0.25">
      <c r="B62" s="9">
        <v>145</v>
      </c>
      <c r="C62" s="10" t="s">
        <v>55</v>
      </c>
      <c r="D62" s="11"/>
      <c r="E62" s="36">
        <v>0</v>
      </c>
      <c r="F62" s="36">
        <v>0</v>
      </c>
      <c r="G62" s="36">
        <v>0</v>
      </c>
      <c r="H62" s="13">
        <f t="shared" si="0"/>
        <v>0</v>
      </c>
      <c r="I62" s="12"/>
      <c r="J62" s="14">
        <f t="shared" si="3"/>
        <v>0</v>
      </c>
      <c r="L62" s="34">
        <f t="shared" si="2"/>
        <v>0</v>
      </c>
    </row>
    <row r="63" spans="1:12" ht="15.75" x14ac:dyDescent="0.25">
      <c r="B63" s="9">
        <v>145</v>
      </c>
      <c r="C63" s="10" t="s">
        <v>56</v>
      </c>
      <c r="D63" s="11"/>
      <c r="E63" s="36">
        <v>0</v>
      </c>
      <c r="F63" s="36">
        <v>0</v>
      </c>
      <c r="G63" s="36">
        <v>0</v>
      </c>
      <c r="H63" s="13">
        <f t="shared" si="0"/>
        <v>0</v>
      </c>
      <c r="I63" s="12"/>
      <c r="J63" s="14">
        <f t="shared" si="3"/>
        <v>0</v>
      </c>
      <c r="L63" s="34">
        <f t="shared" si="2"/>
        <v>0</v>
      </c>
    </row>
    <row r="64" spans="1:12" ht="15.75" x14ac:dyDescent="0.25">
      <c r="B64" s="9">
        <v>145</v>
      </c>
      <c r="C64" s="10" t="s">
        <v>57</v>
      </c>
      <c r="D64" s="11"/>
      <c r="E64" s="36">
        <v>0</v>
      </c>
      <c r="F64" s="36">
        <v>0</v>
      </c>
      <c r="G64" s="36">
        <v>0</v>
      </c>
      <c r="H64" s="13">
        <f t="shared" si="0"/>
        <v>0</v>
      </c>
      <c r="I64" s="12"/>
      <c r="J64" s="14">
        <f t="shared" si="3"/>
        <v>0</v>
      </c>
      <c r="L64" s="34">
        <f t="shared" si="2"/>
        <v>0</v>
      </c>
    </row>
    <row r="65" spans="1:12" ht="15.75" x14ac:dyDescent="0.25">
      <c r="B65" s="9">
        <v>145</v>
      </c>
      <c r="C65" s="10" t="s">
        <v>58</v>
      </c>
      <c r="D65" s="11"/>
      <c r="E65" s="36">
        <v>0</v>
      </c>
      <c r="F65" s="36">
        <v>0</v>
      </c>
      <c r="G65" s="36">
        <v>0</v>
      </c>
      <c r="H65" s="13">
        <f t="shared" si="0"/>
        <v>0</v>
      </c>
      <c r="I65" s="12"/>
      <c r="J65" s="14">
        <f t="shared" si="3"/>
        <v>0</v>
      </c>
      <c r="L65" s="34">
        <f t="shared" si="2"/>
        <v>0</v>
      </c>
    </row>
    <row r="66" spans="1:12" ht="15.75" x14ac:dyDescent="0.25">
      <c r="B66" s="9">
        <v>145</v>
      </c>
      <c r="C66" s="10" t="s">
        <v>59</v>
      </c>
      <c r="D66" s="11"/>
      <c r="E66" s="36">
        <v>0</v>
      </c>
      <c r="F66" s="36">
        <v>0</v>
      </c>
      <c r="G66" s="36">
        <v>0</v>
      </c>
      <c r="H66" s="13">
        <f t="shared" si="0"/>
        <v>0</v>
      </c>
      <c r="I66" s="12"/>
      <c r="J66" s="14">
        <f t="shared" si="3"/>
        <v>0</v>
      </c>
      <c r="L66" s="34">
        <f t="shared" si="2"/>
        <v>0</v>
      </c>
    </row>
    <row r="67" spans="1:12" ht="15.75" x14ac:dyDescent="0.25">
      <c r="B67" s="9"/>
      <c r="C67" s="10" t="s">
        <v>60</v>
      </c>
      <c r="D67" s="11"/>
      <c r="E67" s="36">
        <v>0</v>
      </c>
      <c r="F67" s="36">
        <v>0</v>
      </c>
      <c r="G67" s="36">
        <v>0</v>
      </c>
      <c r="H67" s="13">
        <f t="shared" ref="H67:H130" si="4">D67+E67+F67+G67</f>
        <v>0</v>
      </c>
      <c r="I67" s="12"/>
      <c r="J67" s="14">
        <f t="shared" si="3"/>
        <v>0</v>
      </c>
      <c r="L67" s="34">
        <f t="shared" ref="L67:L130" si="5">K67-H67</f>
        <v>0</v>
      </c>
    </row>
    <row r="68" spans="1:12" ht="15.75" x14ac:dyDescent="0.25">
      <c r="A68">
        <v>598822</v>
      </c>
      <c r="B68" s="9">
        <v>250</v>
      </c>
      <c r="C68" s="10" t="s">
        <v>61</v>
      </c>
      <c r="D68" s="11"/>
      <c r="E68" s="36">
        <v>0</v>
      </c>
      <c r="F68" s="36">
        <v>0</v>
      </c>
      <c r="G68" s="36">
        <v>0</v>
      </c>
      <c r="H68" s="13">
        <f t="shared" si="4"/>
        <v>0</v>
      </c>
      <c r="I68" s="12"/>
      <c r="J68" s="14">
        <f t="shared" si="3"/>
        <v>0</v>
      </c>
      <c r="L68" s="34">
        <f t="shared" si="5"/>
        <v>0</v>
      </c>
    </row>
    <row r="69" spans="1:12" ht="15.75" x14ac:dyDescent="0.25">
      <c r="A69">
        <v>598823</v>
      </c>
      <c r="B69" s="9">
        <v>250</v>
      </c>
      <c r="C69" s="10" t="s">
        <v>62</v>
      </c>
      <c r="D69" s="11"/>
      <c r="E69" s="36">
        <v>0</v>
      </c>
      <c r="F69" s="36">
        <v>0</v>
      </c>
      <c r="G69" s="36">
        <v>0</v>
      </c>
      <c r="H69" s="13">
        <f t="shared" si="4"/>
        <v>0</v>
      </c>
      <c r="I69" s="12"/>
      <c r="J69" s="14">
        <f t="shared" si="3"/>
        <v>0</v>
      </c>
      <c r="L69" s="34">
        <f t="shared" si="5"/>
        <v>0</v>
      </c>
    </row>
    <row r="70" spans="1:12" ht="15.75" x14ac:dyDescent="0.25">
      <c r="B70" s="9">
        <v>250</v>
      </c>
      <c r="C70" s="10" t="s">
        <v>54</v>
      </c>
      <c r="D70" s="11"/>
      <c r="E70" s="36">
        <v>0</v>
      </c>
      <c r="F70" s="36">
        <v>0</v>
      </c>
      <c r="G70" s="36">
        <v>0</v>
      </c>
      <c r="H70" s="13">
        <f t="shared" si="4"/>
        <v>0</v>
      </c>
      <c r="I70" s="12"/>
      <c r="J70" s="14">
        <f t="shared" si="3"/>
        <v>0</v>
      </c>
      <c r="L70" s="34">
        <f t="shared" si="5"/>
        <v>0</v>
      </c>
    </row>
    <row r="71" spans="1:12" ht="15.75" x14ac:dyDescent="0.25">
      <c r="B71" s="9">
        <v>250</v>
      </c>
      <c r="C71" s="10" t="s">
        <v>55</v>
      </c>
      <c r="D71" s="11"/>
      <c r="E71" s="36">
        <v>0</v>
      </c>
      <c r="F71" s="36">
        <v>0</v>
      </c>
      <c r="G71" s="36">
        <v>0</v>
      </c>
      <c r="H71" s="13">
        <f t="shared" si="4"/>
        <v>0</v>
      </c>
      <c r="I71" s="12"/>
      <c r="J71" s="14">
        <f t="shared" si="3"/>
        <v>0</v>
      </c>
      <c r="L71" s="34">
        <f t="shared" si="5"/>
        <v>0</v>
      </c>
    </row>
    <row r="72" spans="1:12" ht="15.75" x14ac:dyDescent="0.25">
      <c r="B72" s="9">
        <v>250</v>
      </c>
      <c r="C72" s="10" t="s">
        <v>56</v>
      </c>
      <c r="D72" s="11"/>
      <c r="E72" s="36">
        <v>0</v>
      </c>
      <c r="F72" s="36">
        <v>0</v>
      </c>
      <c r="G72" s="36">
        <v>0</v>
      </c>
      <c r="H72" s="13">
        <f t="shared" si="4"/>
        <v>0</v>
      </c>
      <c r="I72" s="12"/>
      <c r="J72" s="14">
        <f t="shared" si="3"/>
        <v>0</v>
      </c>
      <c r="L72" s="34">
        <f t="shared" si="5"/>
        <v>0</v>
      </c>
    </row>
    <row r="73" spans="1:12" ht="15.75" x14ac:dyDescent="0.25">
      <c r="B73" s="9">
        <v>1000</v>
      </c>
      <c r="C73" s="10" t="s">
        <v>52</v>
      </c>
      <c r="D73" s="11"/>
      <c r="E73" s="36">
        <v>0</v>
      </c>
      <c r="F73" s="36">
        <v>0</v>
      </c>
      <c r="G73" s="36">
        <v>0</v>
      </c>
      <c r="H73" s="13">
        <f t="shared" si="4"/>
        <v>0</v>
      </c>
      <c r="I73" s="12"/>
      <c r="J73" s="14">
        <f t="shared" si="3"/>
        <v>0</v>
      </c>
      <c r="L73" s="34">
        <f t="shared" si="5"/>
        <v>0</v>
      </c>
    </row>
    <row r="74" spans="1:12" ht="15.75" x14ac:dyDescent="0.25">
      <c r="B74" s="9">
        <v>1000</v>
      </c>
      <c r="C74" s="10" t="s">
        <v>53</v>
      </c>
      <c r="D74" s="11"/>
      <c r="E74" s="36">
        <v>0</v>
      </c>
      <c r="F74" s="36">
        <v>0</v>
      </c>
      <c r="G74" s="36">
        <v>0</v>
      </c>
      <c r="H74" s="13">
        <f t="shared" si="4"/>
        <v>0</v>
      </c>
      <c r="I74" s="12"/>
      <c r="J74" s="14">
        <f t="shared" si="3"/>
        <v>0</v>
      </c>
      <c r="L74" s="34">
        <f t="shared" si="5"/>
        <v>0</v>
      </c>
    </row>
    <row r="75" spans="1:12" ht="15.75" x14ac:dyDescent="0.25">
      <c r="B75" s="9">
        <v>1000</v>
      </c>
      <c r="C75" s="10" t="s">
        <v>54</v>
      </c>
      <c r="D75" s="11"/>
      <c r="E75" s="36">
        <v>0</v>
      </c>
      <c r="F75" s="36">
        <v>0</v>
      </c>
      <c r="G75" s="36">
        <v>0</v>
      </c>
      <c r="H75" s="13">
        <f t="shared" si="4"/>
        <v>0</v>
      </c>
      <c r="I75" s="12"/>
      <c r="J75" s="14">
        <f t="shared" si="3"/>
        <v>0</v>
      </c>
      <c r="L75" s="34">
        <f t="shared" si="5"/>
        <v>0</v>
      </c>
    </row>
    <row r="76" spans="1:12" ht="15.75" x14ac:dyDescent="0.25">
      <c r="B76" s="9">
        <v>1000</v>
      </c>
      <c r="C76" s="10" t="s">
        <v>55</v>
      </c>
      <c r="D76" s="11"/>
      <c r="E76" s="36">
        <v>0</v>
      </c>
      <c r="F76" s="36">
        <v>0</v>
      </c>
      <c r="G76" s="36">
        <v>0</v>
      </c>
      <c r="H76" s="13">
        <f t="shared" si="4"/>
        <v>0</v>
      </c>
      <c r="I76" s="12"/>
      <c r="J76" s="14">
        <f t="shared" si="3"/>
        <v>0</v>
      </c>
      <c r="L76" s="34">
        <f t="shared" si="5"/>
        <v>0</v>
      </c>
    </row>
    <row r="77" spans="1:12" ht="15.75" x14ac:dyDescent="0.25">
      <c r="B77" s="9">
        <v>1000</v>
      </c>
      <c r="C77" s="10" t="s">
        <v>56</v>
      </c>
      <c r="D77" s="11"/>
      <c r="E77" s="36">
        <v>0</v>
      </c>
      <c r="F77" s="36">
        <v>0</v>
      </c>
      <c r="G77" s="36">
        <v>0</v>
      </c>
      <c r="H77" s="13">
        <f t="shared" si="4"/>
        <v>0</v>
      </c>
      <c r="I77" s="12"/>
      <c r="J77" s="14">
        <f t="shared" si="3"/>
        <v>0</v>
      </c>
      <c r="L77" s="34">
        <f t="shared" si="5"/>
        <v>0</v>
      </c>
    </row>
    <row r="78" spans="1:12" ht="15.75" x14ac:dyDescent="0.25">
      <c r="A78">
        <v>599461</v>
      </c>
      <c r="B78" s="18">
        <v>145</v>
      </c>
      <c r="C78" s="10" t="s">
        <v>63</v>
      </c>
      <c r="D78" s="11"/>
      <c r="E78" s="36">
        <v>0</v>
      </c>
      <c r="F78" s="36">
        <v>0</v>
      </c>
      <c r="G78" s="36">
        <v>0</v>
      </c>
      <c r="H78" s="13">
        <f t="shared" si="4"/>
        <v>0</v>
      </c>
      <c r="I78" s="12"/>
      <c r="J78" s="14">
        <f t="shared" si="3"/>
        <v>0</v>
      </c>
      <c r="L78" s="34">
        <f t="shared" si="5"/>
        <v>0</v>
      </c>
    </row>
    <row r="79" spans="1:12" ht="15.75" x14ac:dyDescent="0.25">
      <c r="B79" s="9">
        <v>145</v>
      </c>
      <c r="C79" s="10" t="s">
        <v>64</v>
      </c>
      <c r="D79" s="11"/>
      <c r="E79" s="36">
        <v>0</v>
      </c>
      <c r="F79" s="36">
        <v>0</v>
      </c>
      <c r="G79" s="36">
        <v>0</v>
      </c>
      <c r="H79" s="13">
        <f t="shared" si="4"/>
        <v>0</v>
      </c>
      <c r="I79" s="12"/>
      <c r="J79" s="14">
        <f t="shared" si="3"/>
        <v>0</v>
      </c>
      <c r="L79" s="34">
        <f t="shared" si="5"/>
        <v>0</v>
      </c>
    </row>
    <row r="80" spans="1:12" ht="15.75" x14ac:dyDescent="0.25">
      <c r="B80" s="9">
        <v>145</v>
      </c>
      <c r="C80" s="10" t="s">
        <v>65</v>
      </c>
      <c r="D80" s="11"/>
      <c r="E80" s="36">
        <v>0</v>
      </c>
      <c r="F80" s="36">
        <v>0</v>
      </c>
      <c r="G80" s="36">
        <v>0</v>
      </c>
      <c r="H80" s="13">
        <f t="shared" si="4"/>
        <v>0</v>
      </c>
      <c r="I80" s="12"/>
      <c r="J80" s="14">
        <f t="shared" si="3"/>
        <v>0</v>
      </c>
      <c r="L80" s="34">
        <f t="shared" si="5"/>
        <v>0</v>
      </c>
    </row>
    <row r="81" spans="1:12" ht="15.75" x14ac:dyDescent="0.25">
      <c r="A81">
        <v>522287</v>
      </c>
      <c r="B81" s="9">
        <v>360</v>
      </c>
      <c r="C81" s="10" t="s">
        <v>66</v>
      </c>
      <c r="D81" s="11"/>
      <c r="E81" s="36">
        <v>0</v>
      </c>
      <c r="F81" s="36">
        <v>0</v>
      </c>
      <c r="G81" s="36">
        <v>0</v>
      </c>
      <c r="H81" s="13">
        <f t="shared" si="4"/>
        <v>0</v>
      </c>
      <c r="I81" s="12"/>
      <c r="J81" s="14">
        <f t="shared" si="3"/>
        <v>0</v>
      </c>
      <c r="L81" s="34">
        <f t="shared" si="5"/>
        <v>0</v>
      </c>
    </row>
    <row r="82" spans="1:12" ht="15.75" x14ac:dyDescent="0.25">
      <c r="A82">
        <v>522286</v>
      </c>
      <c r="B82" s="18">
        <v>360</v>
      </c>
      <c r="C82" s="10" t="s">
        <v>67</v>
      </c>
      <c r="D82" s="11"/>
      <c r="E82" s="36">
        <v>0</v>
      </c>
      <c r="F82" s="36">
        <v>0</v>
      </c>
      <c r="G82" s="36">
        <v>0</v>
      </c>
      <c r="H82" s="13">
        <f t="shared" si="4"/>
        <v>0</v>
      </c>
      <c r="I82" s="12"/>
      <c r="J82" s="14">
        <f t="shared" si="3"/>
        <v>0</v>
      </c>
      <c r="L82" s="34">
        <f t="shared" si="5"/>
        <v>0</v>
      </c>
    </row>
    <row r="83" spans="1:12" ht="15.75" x14ac:dyDescent="0.25">
      <c r="A83">
        <v>522278</v>
      </c>
      <c r="B83" s="18">
        <v>360</v>
      </c>
      <c r="C83" s="10" t="s">
        <v>68</v>
      </c>
      <c r="D83" s="11"/>
      <c r="E83" s="36">
        <v>0</v>
      </c>
      <c r="F83" s="36">
        <v>0</v>
      </c>
      <c r="G83" s="36">
        <v>0</v>
      </c>
      <c r="H83" s="13">
        <f t="shared" si="4"/>
        <v>0</v>
      </c>
      <c r="I83" s="12"/>
      <c r="J83" s="14">
        <f t="shared" si="3"/>
        <v>0</v>
      </c>
      <c r="L83" s="34">
        <f t="shared" si="5"/>
        <v>0</v>
      </c>
    </row>
    <row r="84" spans="1:12" ht="15.75" x14ac:dyDescent="0.25">
      <c r="B84" s="9">
        <v>360</v>
      </c>
      <c r="C84" s="10" t="s">
        <v>69</v>
      </c>
      <c r="D84" s="11"/>
      <c r="E84" s="36">
        <v>0</v>
      </c>
      <c r="F84" s="36">
        <v>0</v>
      </c>
      <c r="G84" s="36">
        <v>0</v>
      </c>
      <c r="H84" s="13">
        <f t="shared" si="4"/>
        <v>0</v>
      </c>
      <c r="I84" s="12"/>
      <c r="J84" s="14">
        <f t="shared" si="3"/>
        <v>0</v>
      </c>
      <c r="L84" s="34">
        <f t="shared" si="5"/>
        <v>0</v>
      </c>
    </row>
    <row r="85" spans="1:12" ht="15.75" x14ac:dyDescent="0.25">
      <c r="B85" s="9">
        <v>360</v>
      </c>
      <c r="C85" s="10" t="s">
        <v>70</v>
      </c>
      <c r="D85" s="11"/>
      <c r="E85" s="36">
        <v>0</v>
      </c>
      <c r="F85" s="36">
        <v>0</v>
      </c>
      <c r="G85" s="36">
        <v>0</v>
      </c>
      <c r="H85" s="13">
        <f t="shared" si="4"/>
        <v>0</v>
      </c>
      <c r="I85" s="12"/>
      <c r="J85" s="14">
        <f t="shared" si="3"/>
        <v>0</v>
      </c>
      <c r="L85" s="34">
        <f t="shared" si="5"/>
        <v>0</v>
      </c>
    </row>
    <row r="86" spans="1:12" ht="15.75" x14ac:dyDescent="0.25">
      <c r="B86" s="9">
        <v>360</v>
      </c>
      <c r="C86" s="10" t="s">
        <v>71</v>
      </c>
      <c r="D86" s="11"/>
      <c r="E86" s="36">
        <v>0</v>
      </c>
      <c r="F86" s="36">
        <v>0</v>
      </c>
      <c r="G86" s="36">
        <v>0</v>
      </c>
      <c r="H86" s="13">
        <f t="shared" si="4"/>
        <v>0</v>
      </c>
      <c r="I86" s="12"/>
      <c r="J86" s="14">
        <f t="shared" si="3"/>
        <v>0</v>
      </c>
      <c r="L86" s="34">
        <f t="shared" si="5"/>
        <v>0</v>
      </c>
    </row>
    <row r="87" spans="1:12" ht="15.75" x14ac:dyDescent="0.25">
      <c r="B87" s="9">
        <v>360</v>
      </c>
      <c r="C87" s="10" t="s">
        <v>72</v>
      </c>
      <c r="D87" s="11"/>
      <c r="E87" s="36">
        <v>0</v>
      </c>
      <c r="F87" s="36">
        <v>0</v>
      </c>
      <c r="G87" s="36">
        <v>0</v>
      </c>
      <c r="H87" s="13">
        <f t="shared" si="4"/>
        <v>0</v>
      </c>
      <c r="I87" s="12"/>
      <c r="J87" s="14">
        <f t="shared" si="3"/>
        <v>0</v>
      </c>
      <c r="L87" s="34">
        <f t="shared" si="5"/>
        <v>0</v>
      </c>
    </row>
    <row r="88" spans="1:12" ht="15.75" x14ac:dyDescent="0.25">
      <c r="A88">
        <v>522501</v>
      </c>
      <c r="B88" s="9">
        <v>625</v>
      </c>
      <c r="C88" s="10" t="s">
        <v>66</v>
      </c>
      <c r="D88" s="11">
        <v>50</v>
      </c>
      <c r="E88" s="36">
        <v>22</v>
      </c>
      <c r="F88" s="36">
        <v>40</v>
      </c>
      <c r="G88" s="36">
        <v>30</v>
      </c>
      <c r="H88" s="13">
        <f t="shared" si="4"/>
        <v>142</v>
      </c>
      <c r="I88" s="12"/>
      <c r="J88" s="14">
        <f>H88-I88</f>
        <v>142</v>
      </c>
      <c r="K88">
        <v>142</v>
      </c>
      <c r="L88" s="34">
        <f t="shared" si="5"/>
        <v>0</v>
      </c>
    </row>
    <row r="89" spans="1:12" ht="15.75" x14ac:dyDescent="0.25">
      <c r="A89">
        <v>522502</v>
      </c>
      <c r="B89" s="9">
        <v>625</v>
      </c>
      <c r="C89" s="10" t="s">
        <v>68</v>
      </c>
      <c r="D89" s="11">
        <v>107</v>
      </c>
      <c r="E89" s="36">
        <v>35</v>
      </c>
      <c r="F89" s="36">
        <v>40</v>
      </c>
      <c r="G89" s="36">
        <v>30</v>
      </c>
      <c r="H89" s="13">
        <f t="shared" si="4"/>
        <v>212</v>
      </c>
      <c r="I89" s="12"/>
      <c r="J89" s="14">
        <f t="shared" si="3"/>
        <v>212</v>
      </c>
      <c r="K89">
        <v>212</v>
      </c>
      <c r="L89" s="34">
        <f t="shared" si="5"/>
        <v>0</v>
      </c>
    </row>
    <row r="90" spans="1:12" ht="15.75" x14ac:dyDescent="0.25">
      <c r="A90">
        <v>522500</v>
      </c>
      <c r="B90" s="9">
        <v>625</v>
      </c>
      <c r="C90" s="10" t="s">
        <v>67</v>
      </c>
      <c r="D90" s="11">
        <v>179</v>
      </c>
      <c r="E90" s="36">
        <v>27</v>
      </c>
      <c r="F90" s="36">
        <v>40</v>
      </c>
      <c r="G90" s="36">
        <v>30</v>
      </c>
      <c r="H90" s="13">
        <f t="shared" si="4"/>
        <v>276</v>
      </c>
      <c r="I90" s="12"/>
      <c r="J90" s="14">
        <f t="shared" si="3"/>
        <v>276</v>
      </c>
      <c r="K90">
        <v>276</v>
      </c>
      <c r="L90" s="34">
        <f t="shared" si="5"/>
        <v>0</v>
      </c>
    </row>
    <row r="91" spans="1:12" ht="15.75" x14ac:dyDescent="0.25">
      <c r="A91">
        <v>522499</v>
      </c>
      <c r="B91" s="9">
        <v>625</v>
      </c>
      <c r="C91" s="10" t="s">
        <v>73</v>
      </c>
      <c r="D91" s="11">
        <v>26</v>
      </c>
      <c r="E91" s="36">
        <v>4</v>
      </c>
      <c r="F91" s="36">
        <v>20</v>
      </c>
      <c r="G91" s="36">
        <v>10</v>
      </c>
      <c r="H91" s="13">
        <f t="shared" si="4"/>
        <v>60</v>
      </c>
      <c r="I91" s="12"/>
      <c r="J91" s="14">
        <f t="shared" si="3"/>
        <v>60</v>
      </c>
      <c r="K91">
        <v>60</v>
      </c>
      <c r="L91" s="34">
        <f t="shared" si="5"/>
        <v>0</v>
      </c>
    </row>
    <row r="92" spans="1:12" ht="15.75" x14ac:dyDescent="0.25">
      <c r="B92" s="9">
        <v>625</v>
      </c>
      <c r="C92" s="10" t="s">
        <v>70</v>
      </c>
      <c r="D92" s="11"/>
      <c r="E92" s="36">
        <v>0</v>
      </c>
      <c r="F92" s="36">
        <v>0</v>
      </c>
      <c r="G92" s="36">
        <v>0</v>
      </c>
      <c r="H92" s="13">
        <f t="shared" si="4"/>
        <v>0</v>
      </c>
      <c r="I92" s="12"/>
      <c r="J92" s="14">
        <f t="shared" si="3"/>
        <v>0</v>
      </c>
      <c r="L92" s="34">
        <f t="shared" si="5"/>
        <v>0</v>
      </c>
    </row>
    <row r="93" spans="1:12" ht="15.75" x14ac:dyDescent="0.25">
      <c r="B93" s="9">
        <v>625</v>
      </c>
      <c r="C93" s="10" t="s">
        <v>71</v>
      </c>
      <c r="D93" s="11"/>
      <c r="E93" s="36">
        <v>0</v>
      </c>
      <c r="F93" s="36">
        <v>0</v>
      </c>
      <c r="G93" s="36">
        <v>0</v>
      </c>
      <c r="H93" s="13">
        <f t="shared" si="4"/>
        <v>0</v>
      </c>
      <c r="I93" s="12"/>
      <c r="J93" s="14">
        <f t="shared" si="3"/>
        <v>0</v>
      </c>
      <c r="L93" s="34">
        <f t="shared" si="5"/>
        <v>0</v>
      </c>
    </row>
    <row r="94" spans="1:12" ht="15.75" x14ac:dyDescent="0.25">
      <c r="A94">
        <v>522498</v>
      </c>
      <c r="B94" s="9">
        <v>625</v>
      </c>
      <c r="C94" s="10" t="s">
        <v>74</v>
      </c>
      <c r="D94" s="11"/>
      <c r="E94" s="36">
        <v>0</v>
      </c>
      <c r="F94" s="36">
        <v>0</v>
      </c>
      <c r="G94" s="36">
        <v>0</v>
      </c>
      <c r="H94" s="13">
        <f t="shared" si="4"/>
        <v>0</v>
      </c>
      <c r="I94" s="12"/>
      <c r="J94" s="14">
        <f t="shared" si="3"/>
        <v>0</v>
      </c>
      <c r="L94" s="34">
        <f t="shared" si="5"/>
        <v>0</v>
      </c>
    </row>
    <row r="95" spans="1:12" ht="15.75" x14ac:dyDescent="0.25">
      <c r="A95">
        <v>517507</v>
      </c>
      <c r="B95" s="18">
        <v>500</v>
      </c>
      <c r="C95" s="17" t="s">
        <v>75</v>
      </c>
      <c r="D95" s="11"/>
      <c r="E95" s="36">
        <v>3</v>
      </c>
      <c r="F95" s="36">
        <v>1</v>
      </c>
      <c r="G95" s="36">
        <v>1</v>
      </c>
      <c r="H95" s="13">
        <f t="shared" si="4"/>
        <v>5</v>
      </c>
      <c r="I95" s="12"/>
      <c r="J95" s="14">
        <f t="shared" si="3"/>
        <v>5</v>
      </c>
      <c r="K95">
        <v>5</v>
      </c>
      <c r="L95" s="34">
        <f t="shared" si="5"/>
        <v>0</v>
      </c>
    </row>
    <row r="96" spans="1:12" ht="15.75" x14ac:dyDescent="0.25">
      <c r="A96">
        <v>517499</v>
      </c>
      <c r="B96" s="18">
        <v>360</v>
      </c>
      <c r="C96" s="17" t="s">
        <v>75</v>
      </c>
      <c r="D96" s="11"/>
      <c r="E96" s="36">
        <v>0</v>
      </c>
      <c r="F96" s="36">
        <v>0</v>
      </c>
      <c r="G96" s="36">
        <v>0</v>
      </c>
      <c r="H96" s="13">
        <f t="shared" si="4"/>
        <v>0</v>
      </c>
      <c r="I96" s="12"/>
      <c r="J96" s="14">
        <f t="shared" si="3"/>
        <v>0</v>
      </c>
      <c r="L96" s="34">
        <f t="shared" si="5"/>
        <v>0</v>
      </c>
    </row>
    <row r="97" spans="1:12" ht="15.75" x14ac:dyDescent="0.25">
      <c r="B97" s="9">
        <v>625</v>
      </c>
      <c r="C97" s="10" t="s">
        <v>76</v>
      </c>
      <c r="D97" s="11"/>
      <c r="E97" s="36">
        <v>0</v>
      </c>
      <c r="F97" s="36">
        <v>0</v>
      </c>
      <c r="G97" s="36">
        <v>0</v>
      </c>
      <c r="H97" s="13">
        <f t="shared" si="4"/>
        <v>0</v>
      </c>
      <c r="I97" s="12"/>
      <c r="J97" s="14">
        <f t="shared" si="3"/>
        <v>0</v>
      </c>
      <c r="L97" s="34">
        <f t="shared" si="5"/>
        <v>0</v>
      </c>
    </row>
    <row r="98" spans="1:12" ht="15.75" x14ac:dyDescent="0.25">
      <c r="B98" s="9">
        <v>3030</v>
      </c>
      <c r="C98" s="10" t="s">
        <v>76</v>
      </c>
      <c r="D98" s="11"/>
      <c r="E98" s="36">
        <v>0</v>
      </c>
      <c r="F98" s="36">
        <v>0</v>
      </c>
      <c r="G98" s="36">
        <v>0</v>
      </c>
      <c r="H98" s="13">
        <f t="shared" si="4"/>
        <v>0</v>
      </c>
      <c r="I98" s="12"/>
      <c r="J98" s="14">
        <f t="shared" si="3"/>
        <v>0</v>
      </c>
      <c r="L98" s="34">
        <f t="shared" si="5"/>
        <v>0</v>
      </c>
    </row>
    <row r="99" spans="1:12" ht="15.75" x14ac:dyDescent="0.25">
      <c r="B99" s="9">
        <v>355</v>
      </c>
      <c r="C99" s="10" t="s">
        <v>18</v>
      </c>
      <c r="D99" s="11"/>
      <c r="E99" s="36">
        <v>0</v>
      </c>
      <c r="F99" s="36">
        <v>0</v>
      </c>
      <c r="G99" s="36">
        <v>0</v>
      </c>
      <c r="H99" s="13">
        <f t="shared" si="4"/>
        <v>0</v>
      </c>
      <c r="I99" s="12"/>
      <c r="J99" s="14">
        <f t="shared" si="3"/>
        <v>0</v>
      </c>
      <c r="L99" s="34">
        <f t="shared" si="5"/>
        <v>0</v>
      </c>
    </row>
    <row r="100" spans="1:12" ht="15.75" x14ac:dyDescent="0.25">
      <c r="B100" s="9">
        <v>911</v>
      </c>
      <c r="C100" s="10" t="s">
        <v>77</v>
      </c>
      <c r="D100" s="11"/>
      <c r="E100" s="36">
        <v>0</v>
      </c>
      <c r="F100" s="36">
        <v>0</v>
      </c>
      <c r="G100" s="36">
        <v>0</v>
      </c>
      <c r="H100" s="13">
        <f t="shared" si="4"/>
        <v>0</v>
      </c>
      <c r="I100" s="12"/>
      <c r="J100" s="14">
        <f t="shared" si="3"/>
        <v>0</v>
      </c>
      <c r="L100" s="34">
        <f t="shared" si="5"/>
        <v>0</v>
      </c>
    </row>
    <row r="101" spans="1:12" ht="15.75" x14ac:dyDescent="0.25">
      <c r="A101">
        <v>500386</v>
      </c>
      <c r="B101" s="9">
        <v>355</v>
      </c>
      <c r="C101" s="10" t="s">
        <v>21</v>
      </c>
      <c r="D101" s="11"/>
      <c r="E101" s="36">
        <v>0</v>
      </c>
      <c r="F101" s="36">
        <v>0</v>
      </c>
      <c r="G101" s="36">
        <v>0</v>
      </c>
      <c r="H101" s="13">
        <f t="shared" si="4"/>
        <v>0</v>
      </c>
      <c r="I101" s="12"/>
      <c r="J101" s="14">
        <f t="shared" si="3"/>
        <v>0</v>
      </c>
      <c r="L101" s="34">
        <f t="shared" si="5"/>
        <v>0</v>
      </c>
    </row>
    <row r="102" spans="1:12" ht="15.75" x14ac:dyDescent="0.25">
      <c r="A102">
        <v>598944</v>
      </c>
      <c r="B102" s="20">
        <v>355</v>
      </c>
      <c r="C102" s="21" t="s">
        <v>14</v>
      </c>
      <c r="D102" s="11"/>
      <c r="E102" s="36">
        <v>0</v>
      </c>
      <c r="F102" s="36">
        <v>0</v>
      </c>
      <c r="G102" s="36">
        <v>0</v>
      </c>
      <c r="H102" s="13">
        <f t="shared" si="4"/>
        <v>0</v>
      </c>
      <c r="I102" s="12"/>
      <c r="J102" s="14">
        <f t="shared" si="3"/>
        <v>0</v>
      </c>
      <c r="L102" s="34">
        <f t="shared" si="5"/>
        <v>0</v>
      </c>
    </row>
    <row r="103" spans="1:12" ht="15.75" x14ac:dyDescent="0.25">
      <c r="B103" s="20">
        <v>355</v>
      </c>
      <c r="C103" s="21" t="s">
        <v>16</v>
      </c>
      <c r="D103" s="11"/>
      <c r="E103" s="36">
        <v>0</v>
      </c>
      <c r="F103" s="36">
        <v>0</v>
      </c>
      <c r="G103" s="36">
        <v>0</v>
      </c>
      <c r="H103" s="13">
        <f t="shared" si="4"/>
        <v>0</v>
      </c>
      <c r="I103" s="12"/>
      <c r="J103" s="14">
        <f t="shared" si="3"/>
        <v>0</v>
      </c>
      <c r="L103" s="34">
        <f t="shared" si="5"/>
        <v>0</v>
      </c>
    </row>
    <row r="104" spans="1:12" ht="15.75" x14ac:dyDescent="0.25">
      <c r="A104">
        <v>598947</v>
      </c>
      <c r="B104" s="20">
        <v>355</v>
      </c>
      <c r="C104" s="21" t="s">
        <v>15</v>
      </c>
      <c r="D104" s="11"/>
      <c r="E104" s="36">
        <v>0</v>
      </c>
      <c r="F104" s="36">
        <v>0</v>
      </c>
      <c r="G104" s="36">
        <v>0</v>
      </c>
      <c r="H104" s="13">
        <f t="shared" si="4"/>
        <v>0</v>
      </c>
      <c r="I104" s="12"/>
      <c r="J104" s="14">
        <v>0</v>
      </c>
      <c r="L104" s="34">
        <f t="shared" si="5"/>
        <v>0</v>
      </c>
    </row>
    <row r="105" spans="1:12" ht="15.75" x14ac:dyDescent="0.25">
      <c r="A105">
        <v>598943</v>
      </c>
      <c r="B105" s="20">
        <v>355</v>
      </c>
      <c r="C105" s="21" t="s">
        <v>17</v>
      </c>
      <c r="D105" s="11"/>
      <c r="E105" s="36">
        <v>0</v>
      </c>
      <c r="F105" s="36">
        <v>0</v>
      </c>
      <c r="G105" s="36">
        <v>0</v>
      </c>
      <c r="H105" s="13">
        <f t="shared" si="4"/>
        <v>0</v>
      </c>
      <c r="I105" s="12"/>
      <c r="J105" s="14">
        <f t="shared" si="3"/>
        <v>0</v>
      </c>
      <c r="L105" s="34">
        <f t="shared" si="5"/>
        <v>0</v>
      </c>
    </row>
    <row r="106" spans="1:12" ht="15.75" x14ac:dyDescent="0.25">
      <c r="B106" s="20">
        <v>355</v>
      </c>
      <c r="C106" s="21" t="s">
        <v>78</v>
      </c>
      <c r="D106" s="11"/>
      <c r="E106" s="36">
        <v>0</v>
      </c>
      <c r="F106" s="36">
        <v>0</v>
      </c>
      <c r="G106" s="36">
        <v>0</v>
      </c>
      <c r="H106" s="13">
        <f t="shared" si="4"/>
        <v>0</v>
      </c>
      <c r="I106" s="12"/>
      <c r="J106" s="14">
        <f t="shared" si="3"/>
        <v>0</v>
      </c>
      <c r="L106" s="34">
        <f t="shared" si="5"/>
        <v>0</v>
      </c>
    </row>
    <row r="107" spans="1:12" ht="15.75" x14ac:dyDescent="0.25">
      <c r="B107" s="20">
        <v>355</v>
      </c>
      <c r="C107" s="21" t="s">
        <v>79</v>
      </c>
      <c r="D107" s="11"/>
      <c r="E107" s="36">
        <v>0</v>
      </c>
      <c r="F107" s="36">
        <v>0</v>
      </c>
      <c r="G107" s="36">
        <v>0</v>
      </c>
      <c r="H107" s="13">
        <f t="shared" si="4"/>
        <v>0</v>
      </c>
      <c r="I107" s="12"/>
      <c r="J107" s="14">
        <f t="shared" si="3"/>
        <v>0</v>
      </c>
      <c r="L107" s="34">
        <f t="shared" si="5"/>
        <v>0</v>
      </c>
    </row>
    <row r="108" spans="1:12" ht="15.75" x14ac:dyDescent="0.25">
      <c r="B108" s="20">
        <v>355</v>
      </c>
      <c r="C108" s="21" t="s">
        <v>80</v>
      </c>
      <c r="D108" s="11"/>
      <c r="E108" s="36">
        <v>0</v>
      </c>
      <c r="F108" s="36">
        <v>0</v>
      </c>
      <c r="G108" s="36">
        <v>0</v>
      </c>
      <c r="H108" s="13">
        <f t="shared" si="4"/>
        <v>0</v>
      </c>
      <c r="I108" s="12"/>
      <c r="J108" s="14">
        <f t="shared" si="3"/>
        <v>0</v>
      </c>
      <c r="L108" s="34">
        <f t="shared" si="5"/>
        <v>0</v>
      </c>
    </row>
    <row r="109" spans="1:12" ht="15.75" x14ac:dyDescent="0.25">
      <c r="B109" s="20">
        <v>145</v>
      </c>
      <c r="C109" s="21" t="s">
        <v>70</v>
      </c>
      <c r="D109" s="11"/>
      <c r="E109" s="36">
        <v>0</v>
      </c>
      <c r="F109" s="36">
        <v>0</v>
      </c>
      <c r="G109" s="36">
        <v>0</v>
      </c>
      <c r="H109" s="13">
        <f t="shared" si="4"/>
        <v>0</v>
      </c>
      <c r="I109" s="12"/>
      <c r="J109" s="14">
        <f t="shared" si="3"/>
        <v>0</v>
      </c>
      <c r="L109" s="34">
        <f t="shared" si="5"/>
        <v>0</v>
      </c>
    </row>
    <row r="110" spans="1:12" ht="15.75" x14ac:dyDescent="0.25">
      <c r="B110" s="20">
        <v>145</v>
      </c>
      <c r="C110" s="21" t="s">
        <v>68</v>
      </c>
      <c r="D110" s="11"/>
      <c r="E110" s="36">
        <v>0</v>
      </c>
      <c r="F110" s="36">
        <v>0</v>
      </c>
      <c r="G110" s="36">
        <v>0</v>
      </c>
      <c r="H110" s="13">
        <f t="shared" si="4"/>
        <v>0</v>
      </c>
      <c r="I110" s="12"/>
      <c r="J110" s="14">
        <f t="shared" si="3"/>
        <v>0</v>
      </c>
      <c r="L110" s="34">
        <f t="shared" si="5"/>
        <v>0</v>
      </c>
    </row>
    <row r="111" spans="1:12" ht="15.75" x14ac:dyDescent="0.25">
      <c r="B111" s="20">
        <v>145</v>
      </c>
      <c r="C111" s="21" t="s">
        <v>73</v>
      </c>
      <c r="D111" s="11"/>
      <c r="E111" s="36">
        <v>0</v>
      </c>
      <c r="F111" s="36">
        <v>0</v>
      </c>
      <c r="G111" s="36">
        <v>0</v>
      </c>
      <c r="H111" s="13">
        <f t="shared" si="4"/>
        <v>0</v>
      </c>
      <c r="I111" s="12"/>
      <c r="J111" s="14">
        <f t="shared" si="3"/>
        <v>0</v>
      </c>
      <c r="L111" s="34">
        <f t="shared" si="5"/>
        <v>0</v>
      </c>
    </row>
    <row r="112" spans="1:12" ht="15.75" x14ac:dyDescent="0.25">
      <c r="B112" s="20"/>
      <c r="C112" s="21" t="s">
        <v>66</v>
      </c>
      <c r="D112" s="11"/>
      <c r="E112" s="36">
        <v>0</v>
      </c>
      <c r="F112" s="36">
        <v>0</v>
      </c>
      <c r="G112" s="36">
        <v>0</v>
      </c>
      <c r="H112" s="13">
        <f t="shared" si="4"/>
        <v>0</v>
      </c>
      <c r="I112" s="12"/>
      <c r="J112" s="14">
        <f t="shared" si="3"/>
        <v>0</v>
      </c>
      <c r="L112" s="34">
        <f t="shared" si="5"/>
        <v>0</v>
      </c>
    </row>
    <row r="113" spans="1:12" ht="15.75" x14ac:dyDescent="0.25">
      <c r="B113" s="20"/>
      <c r="C113" s="21" t="s">
        <v>81</v>
      </c>
      <c r="D113" s="11"/>
      <c r="E113" s="36">
        <v>0</v>
      </c>
      <c r="F113" s="36">
        <v>0</v>
      </c>
      <c r="G113" s="36">
        <v>0</v>
      </c>
      <c r="H113" s="13">
        <f t="shared" si="4"/>
        <v>0</v>
      </c>
      <c r="I113" s="12"/>
      <c r="J113" s="14">
        <f t="shared" si="3"/>
        <v>0</v>
      </c>
      <c r="L113" s="34">
        <f t="shared" si="5"/>
        <v>0</v>
      </c>
    </row>
    <row r="114" spans="1:12" ht="15.75" x14ac:dyDescent="0.25">
      <c r="B114" s="20"/>
      <c r="C114" s="21" t="s">
        <v>74</v>
      </c>
      <c r="D114" s="11"/>
      <c r="E114" s="36">
        <v>0</v>
      </c>
      <c r="F114" s="36">
        <v>0</v>
      </c>
      <c r="G114" s="36">
        <v>0</v>
      </c>
      <c r="H114" s="13">
        <f t="shared" si="4"/>
        <v>0</v>
      </c>
      <c r="I114" s="12"/>
      <c r="J114" s="14">
        <f t="shared" si="3"/>
        <v>0</v>
      </c>
      <c r="L114" s="34">
        <f t="shared" si="5"/>
        <v>0</v>
      </c>
    </row>
    <row r="115" spans="1:12" ht="15.75" x14ac:dyDescent="0.25">
      <c r="B115" s="20"/>
      <c r="C115" s="21" t="s">
        <v>82</v>
      </c>
      <c r="D115" s="11"/>
      <c r="E115" s="36">
        <v>0</v>
      </c>
      <c r="F115" s="36">
        <v>0</v>
      </c>
      <c r="G115" s="36">
        <v>0</v>
      </c>
      <c r="H115" s="13">
        <f t="shared" si="4"/>
        <v>0</v>
      </c>
      <c r="I115" s="12"/>
      <c r="J115" s="14">
        <f t="shared" si="3"/>
        <v>0</v>
      </c>
      <c r="L115" s="34">
        <f t="shared" si="5"/>
        <v>0</v>
      </c>
    </row>
    <row r="116" spans="1:12" ht="15.75" x14ac:dyDescent="0.25">
      <c r="B116" s="20">
        <v>250</v>
      </c>
      <c r="C116" s="21" t="s">
        <v>12</v>
      </c>
      <c r="D116" s="11"/>
      <c r="E116" s="36">
        <v>0</v>
      </c>
      <c r="F116" s="36">
        <v>0</v>
      </c>
      <c r="G116" s="36">
        <v>0</v>
      </c>
      <c r="H116" s="13">
        <f t="shared" si="4"/>
        <v>0</v>
      </c>
      <c r="I116" s="12"/>
      <c r="J116" s="14">
        <f t="shared" si="3"/>
        <v>0</v>
      </c>
      <c r="L116" s="34">
        <f t="shared" si="5"/>
        <v>0</v>
      </c>
    </row>
    <row r="117" spans="1:12" ht="15.75" x14ac:dyDescent="0.25">
      <c r="B117" s="20">
        <v>250</v>
      </c>
      <c r="C117" s="21" t="s">
        <v>83</v>
      </c>
      <c r="D117" s="11"/>
      <c r="E117" s="36">
        <v>0</v>
      </c>
      <c r="F117" s="36">
        <v>0</v>
      </c>
      <c r="G117" s="36">
        <v>0</v>
      </c>
      <c r="H117" s="13">
        <f t="shared" si="4"/>
        <v>0</v>
      </c>
      <c r="I117" s="12"/>
      <c r="J117" s="14">
        <f t="shared" si="3"/>
        <v>0</v>
      </c>
      <c r="L117" s="34">
        <f t="shared" si="5"/>
        <v>0</v>
      </c>
    </row>
    <row r="118" spans="1:12" ht="15.75" x14ac:dyDescent="0.25">
      <c r="B118" s="20">
        <v>1000</v>
      </c>
      <c r="C118" s="21" t="s">
        <v>83</v>
      </c>
      <c r="D118" s="11"/>
      <c r="E118" s="36">
        <v>0</v>
      </c>
      <c r="F118" s="36">
        <v>0</v>
      </c>
      <c r="G118" s="36">
        <v>0</v>
      </c>
      <c r="H118" s="13">
        <f t="shared" si="4"/>
        <v>0</v>
      </c>
      <c r="I118" s="12"/>
      <c r="J118" s="14">
        <f t="shared" si="3"/>
        <v>0</v>
      </c>
      <c r="L118" s="34">
        <f t="shared" si="5"/>
        <v>0</v>
      </c>
    </row>
    <row r="119" spans="1:12" ht="15.75" x14ac:dyDescent="0.25">
      <c r="B119" s="20">
        <v>250</v>
      </c>
      <c r="C119" s="21" t="s">
        <v>84</v>
      </c>
      <c r="D119" s="11"/>
      <c r="E119" s="36">
        <v>0</v>
      </c>
      <c r="F119" s="36">
        <v>0</v>
      </c>
      <c r="G119" s="36">
        <v>0</v>
      </c>
      <c r="H119" s="13">
        <f t="shared" si="4"/>
        <v>0</v>
      </c>
      <c r="I119" s="12"/>
      <c r="J119" s="14">
        <f t="shared" si="3"/>
        <v>0</v>
      </c>
      <c r="L119" s="34">
        <f t="shared" si="5"/>
        <v>0</v>
      </c>
    </row>
    <row r="120" spans="1:12" ht="15.75" x14ac:dyDescent="0.25">
      <c r="A120">
        <v>522665</v>
      </c>
      <c r="B120" s="22">
        <v>1.5</v>
      </c>
      <c r="C120" s="23" t="s">
        <v>85</v>
      </c>
      <c r="D120" s="11"/>
      <c r="E120" s="36">
        <v>0</v>
      </c>
      <c r="F120" s="36">
        <v>0</v>
      </c>
      <c r="G120" s="36">
        <v>0</v>
      </c>
      <c r="H120" s="13">
        <f t="shared" si="4"/>
        <v>0</v>
      </c>
      <c r="I120" s="12"/>
      <c r="J120" s="14">
        <f t="shared" si="3"/>
        <v>0</v>
      </c>
      <c r="L120" s="34">
        <f t="shared" si="5"/>
        <v>0</v>
      </c>
    </row>
    <row r="121" spans="1:12" ht="15.75" x14ac:dyDescent="0.25">
      <c r="A121">
        <v>522664</v>
      </c>
      <c r="B121" s="20">
        <v>1.5</v>
      </c>
      <c r="C121" s="21" t="s">
        <v>86</v>
      </c>
      <c r="D121" s="11"/>
      <c r="E121" s="36">
        <v>9</v>
      </c>
      <c r="F121" s="36">
        <v>0</v>
      </c>
      <c r="G121" s="36">
        <v>5</v>
      </c>
      <c r="H121" s="13">
        <f t="shared" si="4"/>
        <v>14</v>
      </c>
      <c r="I121" s="12"/>
      <c r="J121" s="14">
        <f t="shared" si="3"/>
        <v>14</v>
      </c>
      <c r="K121">
        <v>14</v>
      </c>
      <c r="L121" s="34">
        <f t="shared" si="5"/>
        <v>0</v>
      </c>
    </row>
    <row r="122" spans="1:12" ht="15.75" x14ac:dyDescent="0.25">
      <c r="B122" s="24">
        <v>250</v>
      </c>
      <c r="C122" s="21" t="s">
        <v>13</v>
      </c>
      <c r="D122" s="11"/>
      <c r="E122" s="36">
        <v>0</v>
      </c>
      <c r="F122" s="36">
        <v>0</v>
      </c>
      <c r="G122" s="36">
        <v>0</v>
      </c>
      <c r="H122" s="13">
        <f t="shared" si="4"/>
        <v>0</v>
      </c>
      <c r="I122" s="12"/>
      <c r="J122" s="14">
        <f t="shared" ref="J122:J183" si="6">H122-I122</f>
        <v>0</v>
      </c>
      <c r="L122" s="34">
        <f t="shared" si="5"/>
        <v>0</v>
      </c>
    </row>
    <row r="123" spans="1:12" ht="15.75" x14ac:dyDescent="0.25">
      <c r="B123" s="20">
        <v>360</v>
      </c>
      <c r="C123" s="21" t="s">
        <v>87</v>
      </c>
      <c r="D123" s="11"/>
      <c r="E123" s="36">
        <v>0</v>
      </c>
      <c r="F123" s="36">
        <v>0</v>
      </c>
      <c r="G123" s="36">
        <v>0</v>
      </c>
      <c r="H123" s="13">
        <f t="shared" si="4"/>
        <v>0</v>
      </c>
      <c r="I123" s="12"/>
      <c r="J123" s="14">
        <f t="shared" si="6"/>
        <v>0</v>
      </c>
      <c r="L123" s="34">
        <f t="shared" si="5"/>
        <v>0</v>
      </c>
    </row>
    <row r="124" spans="1:12" ht="15.75" x14ac:dyDescent="0.25">
      <c r="B124" s="20">
        <v>1000</v>
      </c>
      <c r="C124" s="21" t="s">
        <v>75</v>
      </c>
      <c r="D124" s="11"/>
      <c r="E124" s="36">
        <v>0</v>
      </c>
      <c r="F124" s="36">
        <v>0</v>
      </c>
      <c r="G124" s="36">
        <v>0</v>
      </c>
      <c r="H124" s="13">
        <f t="shared" si="4"/>
        <v>0</v>
      </c>
      <c r="I124" s="12"/>
      <c r="J124" s="14">
        <f t="shared" si="6"/>
        <v>0</v>
      </c>
      <c r="L124" s="34">
        <f t="shared" si="5"/>
        <v>0</v>
      </c>
    </row>
    <row r="125" spans="1:12" ht="15.75" x14ac:dyDescent="0.25">
      <c r="B125" s="20">
        <v>355</v>
      </c>
      <c r="C125" s="21" t="s">
        <v>88</v>
      </c>
      <c r="D125" s="11"/>
      <c r="E125" s="36">
        <v>0</v>
      </c>
      <c r="F125" s="36">
        <v>0</v>
      </c>
      <c r="G125" s="36">
        <v>0</v>
      </c>
      <c r="H125" s="13">
        <f t="shared" si="4"/>
        <v>0</v>
      </c>
      <c r="I125" s="12"/>
      <c r="J125" s="14">
        <f t="shared" si="6"/>
        <v>0</v>
      </c>
      <c r="L125" s="34">
        <f t="shared" si="5"/>
        <v>0</v>
      </c>
    </row>
    <row r="126" spans="1:12" ht="15.75" x14ac:dyDescent="0.25">
      <c r="B126" s="20">
        <v>330</v>
      </c>
      <c r="C126" s="21" t="s">
        <v>89</v>
      </c>
      <c r="D126" s="11"/>
      <c r="E126" s="36">
        <v>0</v>
      </c>
      <c r="F126" s="36">
        <v>0</v>
      </c>
      <c r="G126" s="36">
        <v>0</v>
      </c>
      <c r="H126" s="13">
        <f t="shared" si="4"/>
        <v>0</v>
      </c>
      <c r="I126" s="12"/>
      <c r="J126" s="14">
        <f t="shared" si="6"/>
        <v>0</v>
      </c>
      <c r="L126" s="34">
        <f t="shared" si="5"/>
        <v>0</v>
      </c>
    </row>
    <row r="127" spans="1:12" ht="15.75" x14ac:dyDescent="0.25">
      <c r="B127" s="20">
        <v>330</v>
      </c>
      <c r="C127" s="21" t="s">
        <v>90</v>
      </c>
      <c r="D127" s="11"/>
      <c r="E127" s="36">
        <v>0</v>
      </c>
      <c r="F127" s="36">
        <v>0</v>
      </c>
      <c r="G127" s="36">
        <v>0</v>
      </c>
      <c r="H127" s="13">
        <f t="shared" si="4"/>
        <v>0</v>
      </c>
      <c r="I127" s="12"/>
      <c r="J127" s="14">
        <f t="shared" si="6"/>
        <v>0</v>
      </c>
      <c r="L127" s="34">
        <f t="shared" si="5"/>
        <v>0</v>
      </c>
    </row>
    <row r="128" spans="1:12" ht="15.75" x14ac:dyDescent="0.25">
      <c r="B128" s="20">
        <v>330</v>
      </c>
      <c r="C128" s="21" t="s">
        <v>91</v>
      </c>
      <c r="D128" s="11"/>
      <c r="E128" s="36">
        <v>0</v>
      </c>
      <c r="F128" s="36">
        <v>0</v>
      </c>
      <c r="G128" s="36">
        <v>0</v>
      </c>
      <c r="H128" s="13">
        <f t="shared" si="4"/>
        <v>0</v>
      </c>
      <c r="I128" s="12"/>
      <c r="J128" s="14">
        <f t="shared" si="6"/>
        <v>0</v>
      </c>
      <c r="L128" s="34">
        <f t="shared" si="5"/>
        <v>0</v>
      </c>
    </row>
    <row r="129" spans="1:12" ht="15.75" x14ac:dyDescent="0.25">
      <c r="B129" s="20">
        <v>330</v>
      </c>
      <c r="C129" s="21" t="s">
        <v>92</v>
      </c>
      <c r="D129" s="11"/>
      <c r="E129" s="36">
        <v>0</v>
      </c>
      <c r="F129" s="36">
        <v>0</v>
      </c>
      <c r="G129" s="36">
        <v>0</v>
      </c>
      <c r="H129" s="13">
        <f t="shared" si="4"/>
        <v>0</v>
      </c>
      <c r="I129" s="12"/>
      <c r="J129" s="14">
        <f t="shared" si="6"/>
        <v>0</v>
      </c>
      <c r="L129" s="34">
        <f t="shared" si="5"/>
        <v>0</v>
      </c>
    </row>
    <row r="130" spans="1:12" ht="15.75" x14ac:dyDescent="0.25">
      <c r="B130" s="20">
        <v>330</v>
      </c>
      <c r="C130" s="21" t="s">
        <v>93</v>
      </c>
      <c r="D130" s="11"/>
      <c r="E130" s="36">
        <v>0</v>
      </c>
      <c r="F130" s="36">
        <v>0</v>
      </c>
      <c r="G130" s="36">
        <v>0</v>
      </c>
      <c r="H130" s="13">
        <f t="shared" si="4"/>
        <v>0</v>
      </c>
      <c r="I130" s="12"/>
      <c r="J130" s="14">
        <f t="shared" si="6"/>
        <v>0</v>
      </c>
      <c r="L130" s="34">
        <f t="shared" si="5"/>
        <v>0</v>
      </c>
    </row>
    <row r="131" spans="1:12" ht="15.75" x14ac:dyDescent="0.25">
      <c r="B131" s="20">
        <v>330</v>
      </c>
      <c r="C131" s="21" t="s">
        <v>94</v>
      </c>
      <c r="D131" s="11"/>
      <c r="E131" s="36">
        <v>0</v>
      </c>
      <c r="F131" s="36">
        <v>0</v>
      </c>
      <c r="G131" s="36">
        <v>0</v>
      </c>
      <c r="H131" s="13">
        <f t="shared" ref="H131:H183" si="7">D131+E131+F131+G131</f>
        <v>0</v>
      </c>
      <c r="I131" s="12"/>
      <c r="J131" s="14">
        <f t="shared" si="6"/>
        <v>0</v>
      </c>
      <c r="L131" s="34">
        <f t="shared" ref="L131:L183" si="8">K131-H131</f>
        <v>0</v>
      </c>
    </row>
    <row r="132" spans="1:12" ht="15.75" x14ac:dyDescent="0.25">
      <c r="B132" s="20">
        <v>330</v>
      </c>
      <c r="C132" s="21" t="s">
        <v>95</v>
      </c>
      <c r="D132" s="11"/>
      <c r="E132" s="36">
        <v>0</v>
      </c>
      <c r="F132" s="36">
        <v>0</v>
      </c>
      <c r="G132" s="36">
        <v>0</v>
      </c>
      <c r="H132" s="13">
        <f t="shared" si="7"/>
        <v>0</v>
      </c>
      <c r="I132" s="12"/>
      <c r="J132" s="14">
        <f t="shared" si="6"/>
        <v>0</v>
      </c>
      <c r="L132" s="34">
        <f t="shared" si="8"/>
        <v>0</v>
      </c>
    </row>
    <row r="133" spans="1:12" ht="15.75" x14ac:dyDescent="0.25">
      <c r="B133" s="20">
        <v>330</v>
      </c>
      <c r="C133" s="21" t="s">
        <v>96</v>
      </c>
      <c r="D133" s="11"/>
      <c r="E133" s="36">
        <v>0</v>
      </c>
      <c r="F133" s="36">
        <v>0</v>
      </c>
      <c r="G133" s="36">
        <v>0</v>
      </c>
      <c r="H133" s="13">
        <f t="shared" si="7"/>
        <v>0</v>
      </c>
      <c r="I133" s="12"/>
      <c r="J133" s="14">
        <f t="shared" si="6"/>
        <v>0</v>
      </c>
      <c r="L133" s="34">
        <f t="shared" si="8"/>
        <v>0</v>
      </c>
    </row>
    <row r="134" spans="1:12" ht="15.75" x14ac:dyDescent="0.25">
      <c r="B134" s="20">
        <v>330</v>
      </c>
      <c r="C134" s="21" t="s">
        <v>97</v>
      </c>
      <c r="D134" s="11"/>
      <c r="E134" s="36">
        <v>0</v>
      </c>
      <c r="F134" s="36">
        <v>0</v>
      </c>
      <c r="G134" s="36">
        <v>0</v>
      </c>
      <c r="H134" s="13">
        <f t="shared" si="7"/>
        <v>0</v>
      </c>
      <c r="I134" s="12"/>
      <c r="J134" s="14">
        <f t="shared" si="6"/>
        <v>0</v>
      </c>
      <c r="L134" s="34">
        <f t="shared" si="8"/>
        <v>0</v>
      </c>
    </row>
    <row r="135" spans="1:12" ht="15.75" x14ac:dyDescent="0.25">
      <c r="B135" s="20"/>
      <c r="C135" s="21" t="s">
        <v>98</v>
      </c>
      <c r="D135" s="11"/>
      <c r="E135" s="36">
        <v>0</v>
      </c>
      <c r="F135" s="36">
        <v>0</v>
      </c>
      <c r="G135" s="36">
        <v>0</v>
      </c>
      <c r="H135" s="13">
        <f t="shared" si="7"/>
        <v>0</v>
      </c>
      <c r="I135" s="12"/>
      <c r="J135" s="14">
        <f t="shared" si="6"/>
        <v>0</v>
      </c>
      <c r="L135" s="34">
        <f t="shared" si="8"/>
        <v>0</v>
      </c>
    </row>
    <row r="136" spans="1:12" ht="15.75" x14ac:dyDescent="0.25">
      <c r="B136" s="24">
        <v>473</v>
      </c>
      <c r="C136" s="21" t="s">
        <v>43</v>
      </c>
      <c r="D136" s="11"/>
      <c r="E136" s="36">
        <v>0</v>
      </c>
      <c r="F136" s="36">
        <v>0</v>
      </c>
      <c r="G136" s="36">
        <v>0</v>
      </c>
      <c r="H136" s="13">
        <f t="shared" si="7"/>
        <v>0</v>
      </c>
      <c r="I136" s="12"/>
      <c r="J136" s="14">
        <f t="shared" si="6"/>
        <v>0</v>
      </c>
      <c r="L136" s="34">
        <f t="shared" si="8"/>
        <v>0</v>
      </c>
    </row>
    <row r="137" spans="1:12" ht="15.75" x14ac:dyDescent="0.25">
      <c r="B137" s="24">
        <v>473</v>
      </c>
      <c r="C137" s="21" t="s">
        <v>45</v>
      </c>
      <c r="D137" s="11"/>
      <c r="E137" s="36">
        <v>0</v>
      </c>
      <c r="F137" s="36">
        <v>0</v>
      </c>
      <c r="G137" s="36">
        <v>0</v>
      </c>
      <c r="H137" s="13">
        <f t="shared" si="7"/>
        <v>0</v>
      </c>
      <c r="I137" s="12"/>
      <c r="J137" s="14">
        <f t="shared" si="6"/>
        <v>0</v>
      </c>
      <c r="L137" s="34">
        <f t="shared" si="8"/>
        <v>0</v>
      </c>
    </row>
    <row r="138" spans="1:12" ht="15.75" x14ac:dyDescent="0.25">
      <c r="A138">
        <v>599675</v>
      </c>
      <c r="B138" s="24">
        <v>473</v>
      </c>
      <c r="C138" s="21" t="s">
        <v>99</v>
      </c>
      <c r="D138" s="11"/>
      <c r="E138" s="36">
        <v>0</v>
      </c>
      <c r="F138" s="36">
        <v>0</v>
      </c>
      <c r="G138" s="36">
        <v>0</v>
      </c>
      <c r="H138" s="13">
        <f t="shared" si="7"/>
        <v>0</v>
      </c>
      <c r="I138" s="12"/>
      <c r="J138" s="14">
        <f t="shared" si="6"/>
        <v>0</v>
      </c>
      <c r="L138" s="34">
        <f t="shared" si="8"/>
        <v>0</v>
      </c>
    </row>
    <row r="139" spans="1:12" ht="15.75" x14ac:dyDescent="0.25">
      <c r="B139" s="20">
        <v>473</v>
      </c>
      <c r="C139" s="21" t="s">
        <v>46</v>
      </c>
      <c r="D139" s="11"/>
      <c r="E139" s="36">
        <v>0</v>
      </c>
      <c r="F139" s="36">
        <v>0</v>
      </c>
      <c r="G139" s="36">
        <v>0</v>
      </c>
      <c r="H139" s="13">
        <f t="shared" si="7"/>
        <v>0</v>
      </c>
      <c r="I139" s="12"/>
      <c r="J139" s="14">
        <f t="shared" si="6"/>
        <v>0</v>
      </c>
      <c r="L139" s="34">
        <f t="shared" si="8"/>
        <v>0</v>
      </c>
    </row>
    <row r="140" spans="1:12" ht="15.75" x14ac:dyDescent="0.25">
      <c r="A140">
        <v>522564</v>
      </c>
      <c r="B140" s="20">
        <v>473</v>
      </c>
      <c r="C140" s="21" t="s">
        <v>100</v>
      </c>
      <c r="D140" s="11"/>
      <c r="E140" s="36">
        <v>0</v>
      </c>
      <c r="F140" s="36">
        <v>0</v>
      </c>
      <c r="G140" s="36">
        <v>0</v>
      </c>
      <c r="H140" s="13">
        <f t="shared" si="7"/>
        <v>0</v>
      </c>
      <c r="I140" s="12"/>
      <c r="J140" s="14">
        <f>H140-I140</f>
        <v>0</v>
      </c>
      <c r="L140" s="34">
        <f t="shared" si="8"/>
        <v>0</v>
      </c>
    </row>
    <row r="141" spans="1:12" ht="15.75" x14ac:dyDescent="0.25">
      <c r="B141" s="20">
        <v>625</v>
      </c>
      <c r="C141" s="21" t="s">
        <v>100</v>
      </c>
      <c r="D141" s="11"/>
      <c r="E141" s="36">
        <v>0</v>
      </c>
      <c r="F141" s="36">
        <v>0</v>
      </c>
      <c r="G141" s="36">
        <v>0</v>
      </c>
      <c r="H141" s="13">
        <f t="shared" si="7"/>
        <v>0</v>
      </c>
      <c r="I141" s="12"/>
      <c r="J141" s="14">
        <f t="shared" si="6"/>
        <v>0</v>
      </c>
      <c r="L141" s="34">
        <f t="shared" si="8"/>
        <v>0</v>
      </c>
    </row>
    <row r="142" spans="1:12" ht="15.75" x14ac:dyDescent="0.25">
      <c r="A142" t="s">
        <v>101</v>
      </c>
      <c r="B142" s="20"/>
      <c r="C142" s="21" t="s">
        <v>102</v>
      </c>
      <c r="D142" s="11"/>
      <c r="E142" s="36">
        <v>0</v>
      </c>
      <c r="F142" s="36">
        <v>0</v>
      </c>
      <c r="G142" s="36">
        <v>0</v>
      </c>
      <c r="H142" s="13">
        <f t="shared" si="7"/>
        <v>0</v>
      </c>
      <c r="I142" s="12"/>
      <c r="J142" s="14">
        <f t="shared" si="6"/>
        <v>0</v>
      </c>
      <c r="L142" s="34">
        <f t="shared" si="8"/>
        <v>0</v>
      </c>
    </row>
    <row r="143" spans="1:12" ht="15.75" x14ac:dyDescent="0.25">
      <c r="B143" s="20">
        <v>400</v>
      </c>
      <c r="C143" s="21" t="s">
        <v>103</v>
      </c>
      <c r="D143" s="11"/>
      <c r="E143" s="36">
        <v>0</v>
      </c>
      <c r="F143" s="36">
        <v>0</v>
      </c>
      <c r="G143" s="36">
        <v>0</v>
      </c>
      <c r="H143" s="13">
        <f t="shared" si="7"/>
        <v>0</v>
      </c>
      <c r="I143" s="12"/>
      <c r="J143" s="14">
        <f t="shared" si="6"/>
        <v>0</v>
      </c>
      <c r="L143" s="34">
        <f t="shared" si="8"/>
        <v>0</v>
      </c>
    </row>
    <row r="144" spans="1:12" ht="15.75" x14ac:dyDescent="0.25">
      <c r="B144" s="20">
        <v>300</v>
      </c>
      <c r="C144" s="21" t="s">
        <v>43</v>
      </c>
      <c r="D144" s="11"/>
      <c r="E144" s="36">
        <v>0</v>
      </c>
      <c r="F144" s="36">
        <v>0</v>
      </c>
      <c r="G144" s="36">
        <v>0</v>
      </c>
      <c r="H144" s="13">
        <f t="shared" si="7"/>
        <v>0</v>
      </c>
      <c r="I144" s="12"/>
      <c r="J144" s="14">
        <f t="shared" si="6"/>
        <v>0</v>
      </c>
      <c r="L144" s="34">
        <f t="shared" si="8"/>
        <v>0</v>
      </c>
    </row>
    <row r="145" spans="1:12" ht="15.75" x14ac:dyDescent="0.25">
      <c r="B145" s="20">
        <v>300</v>
      </c>
      <c r="C145" s="21" t="s">
        <v>45</v>
      </c>
      <c r="D145" s="11"/>
      <c r="E145" s="36">
        <v>0</v>
      </c>
      <c r="F145" s="36">
        <v>0</v>
      </c>
      <c r="G145" s="36">
        <v>0</v>
      </c>
      <c r="H145" s="13">
        <f t="shared" si="7"/>
        <v>0</v>
      </c>
      <c r="I145" s="12"/>
      <c r="J145" s="14">
        <f t="shared" si="6"/>
        <v>0</v>
      </c>
      <c r="L145" s="34">
        <f t="shared" si="8"/>
        <v>0</v>
      </c>
    </row>
    <row r="146" spans="1:12" ht="15.75" x14ac:dyDescent="0.25">
      <c r="B146" s="20">
        <v>300</v>
      </c>
      <c r="C146" s="21" t="s">
        <v>44</v>
      </c>
      <c r="D146" s="11"/>
      <c r="E146" s="36">
        <v>0</v>
      </c>
      <c r="F146" s="36">
        <v>0</v>
      </c>
      <c r="G146" s="36">
        <v>0</v>
      </c>
      <c r="H146" s="13">
        <f t="shared" si="7"/>
        <v>0</v>
      </c>
      <c r="I146" s="12"/>
      <c r="J146" s="14">
        <f t="shared" si="6"/>
        <v>0</v>
      </c>
      <c r="L146" s="34">
        <f t="shared" si="8"/>
        <v>0</v>
      </c>
    </row>
    <row r="147" spans="1:12" ht="15.75" x14ac:dyDescent="0.25">
      <c r="B147" s="20">
        <v>1090</v>
      </c>
      <c r="C147" s="21" t="s">
        <v>11</v>
      </c>
      <c r="D147" s="11"/>
      <c r="E147" s="36">
        <v>0</v>
      </c>
      <c r="F147" s="36">
        <v>0</v>
      </c>
      <c r="G147" s="36">
        <v>0</v>
      </c>
      <c r="H147" s="13">
        <f t="shared" si="7"/>
        <v>0</v>
      </c>
      <c r="I147" s="12"/>
      <c r="J147" s="14">
        <f t="shared" si="6"/>
        <v>0</v>
      </c>
      <c r="L147" s="34">
        <f t="shared" si="8"/>
        <v>0</v>
      </c>
    </row>
    <row r="148" spans="1:12" ht="15.75" x14ac:dyDescent="0.25">
      <c r="B148" s="20">
        <v>2600</v>
      </c>
      <c r="C148" s="21" t="s">
        <v>11</v>
      </c>
      <c r="D148" s="11"/>
      <c r="E148" s="36">
        <v>0</v>
      </c>
      <c r="F148" s="36">
        <v>0</v>
      </c>
      <c r="G148" s="36">
        <v>0</v>
      </c>
      <c r="H148" s="13">
        <f t="shared" si="7"/>
        <v>0</v>
      </c>
      <c r="I148" s="12"/>
      <c r="J148" s="14">
        <f t="shared" si="6"/>
        <v>0</v>
      </c>
      <c r="L148" s="34">
        <f t="shared" si="8"/>
        <v>0</v>
      </c>
    </row>
    <row r="149" spans="1:12" ht="15.75" x14ac:dyDescent="0.25">
      <c r="B149" s="20">
        <v>250</v>
      </c>
      <c r="C149" s="21" t="s">
        <v>104</v>
      </c>
      <c r="D149" s="11"/>
      <c r="E149" s="36">
        <v>0</v>
      </c>
      <c r="F149" s="36">
        <v>0</v>
      </c>
      <c r="G149" s="36">
        <v>0</v>
      </c>
      <c r="H149" s="13">
        <f t="shared" si="7"/>
        <v>0</v>
      </c>
      <c r="I149" s="12"/>
      <c r="J149" s="14">
        <f t="shared" si="6"/>
        <v>0</v>
      </c>
      <c r="L149" s="34">
        <f t="shared" si="8"/>
        <v>0</v>
      </c>
    </row>
    <row r="150" spans="1:12" ht="15.75" x14ac:dyDescent="0.25">
      <c r="B150" s="20"/>
      <c r="C150" s="21" t="s">
        <v>105</v>
      </c>
      <c r="D150" s="11"/>
      <c r="E150" s="36">
        <v>0</v>
      </c>
      <c r="F150" s="36">
        <v>0</v>
      </c>
      <c r="G150" s="36">
        <v>0</v>
      </c>
      <c r="H150" s="13">
        <f t="shared" si="7"/>
        <v>0</v>
      </c>
      <c r="I150" s="12"/>
      <c r="J150" s="14">
        <f t="shared" si="6"/>
        <v>0</v>
      </c>
      <c r="L150" s="34">
        <f t="shared" si="8"/>
        <v>0</v>
      </c>
    </row>
    <row r="151" spans="1:12" ht="15.75" x14ac:dyDescent="0.25">
      <c r="B151" s="20"/>
      <c r="C151" s="21" t="s">
        <v>16</v>
      </c>
      <c r="D151" s="11"/>
      <c r="E151" s="36">
        <v>0</v>
      </c>
      <c r="F151" s="36">
        <v>0</v>
      </c>
      <c r="G151" s="36">
        <v>0</v>
      </c>
      <c r="H151" s="13">
        <f t="shared" si="7"/>
        <v>0</v>
      </c>
      <c r="I151" s="12"/>
      <c r="J151" s="14">
        <f t="shared" si="6"/>
        <v>0</v>
      </c>
      <c r="L151" s="34">
        <f t="shared" si="8"/>
        <v>0</v>
      </c>
    </row>
    <row r="152" spans="1:12" ht="15.75" x14ac:dyDescent="0.25">
      <c r="B152" s="20"/>
      <c r="C152" s="21" t="s">
        <v>106</v>
      </c>
      <c r="D152" s="11"/>
      <c r="E152" s="36">
        <v>0</v>
      </c>
      <c r="F152" s="36">
        <v>0</v>
      </c>
      <c r="G152" s="36">
        <v>0</v>
      </c>
      <c r="H152" s="13">
        <f t="shared" si="7"/>
        <v>0</v>
      </c>
      <c r="I152" s="12"/>
      <c r="J152" s="14">
        <f t="shared" si="6"/>
        <v>0</v>
      </c>
      <c r="L152" s="34">
        <f t="shared" si="8"/>
        <v>0</v>
      </c>
    </row>
    <row r="153" spans="1:12" ht="15.75" x14ac:dyDescent="0.25">
      <c r="B153" s="20"/>
      <c r="C153" s="21" t="s">
        <v>107</v>
      </c>
      <c r="D153" s="11"/>
      <c r="E153" s="36">
        <v>0</v>
      </c>
      <c r="F153" s="36">
        <v>0</v>
      </c>
      <c r="G153" s="36">
        <v>0</v>
      </c>
      <c r="H153" s="13">
        <f t="shared" si="7"/>
        <v>0</v>
      </c>
      <c r="I153" s="12"/>
      <c r="J153" s="14">
        <f t="shared" si="6"/>
        <v>0</v>
      </c>
      <c r="L153" s="34">
        <f t="shared" si="8"/>
        <v>0</v>
      </c>
    </row>
    <row r="154" spans="1:12" ht="15.75" x14ac:dyDescent="0.25">
      <c r="B154" s="20"/>
      <c r="C154" s="21" t="s">
        <v>108</v>
      </c>
      <c r="D154" s="11"/>
      <c r="E154" s="36">
        <v>0</v>
      </c>
      <c r="F154" s="36">
        <v>0</v>
      </c>
      <c r="G154" s="36">
        <v>0</v>
      </c>
      <c r="H154" s="13">
        <f t="shared" si="7"/>
        <v>0</v>
      </c>
      <c r="I154" s="12"/>
      <c r="J154" s="14">
        <f t="shared" si="6"/>
        <v>0</v>
      </c>
      <c r="L154" s="34">
        <f t="shared" si="8"/>
        <v>0</v>
      </c>
    </row>
    <row r="155" spans="1:12" ht="15.75" x14ac:dyDescent="0.25">
      <c r="A155">
        <v>699952</v>
      </c>
      <c r="B155" s="20"/>
      <c r="C155" s="21" t="s">
        <v>109</v>
      </c>
      <c r="D155" s="11"/>
      <c r="E155" s="36">
        <v>0</v>
      </c>
      <c r="F155" s="36">
        <v>0</v>
      </c>
      <c r="G155" s="36">
        <v>0</v>
      </c>
      <c r="H155" s="13">
        <f t="shared" si="7"/>
        <v>0</v>
      </c>
      <c r="I155" s="12"/>
      <c r="J155" s="14">
        <f t="shared" si="6"/>
        <v>0</v>
      </c>
      <c r="L155" s="34">
        <f t="shared" si="8"/>
        <v>0</v>
      </c>
    </row>
    <row r="156" spans="1:12" ht="15.75" x14ac:dyDescent="0.25">
      <c r="A156">
        <v>501020</v>
      </c>
      <c r="B156" s="24">
        <v>360</v>
      </c>
      <c r="C156" s="21" t="s">
        <v>110</v>
      </c>
      <c r="D156" s="11"/>
      <c r="E156" s="36">
        <v>0</v>
      </c>
      <c r="F156" s="36">
        <v>0</v>
      </c>
      <c r="G156" s="36">
        <v>0</v>
      </c>
      <c r="H156" s="13">
        <f t="shared" si="7"/>
        <v>0</v>
      </c>
      <c r="I156" s="12"/>
      <c r="J156" s="14">
        <f t="shared" si="6"/>
        <v>0</v>
      </c>
      <c r="L156" s="34">
        <f t="shared" si="8"/>
        <v>0</v>
      </c>
    </row>
    <row r="157" spans="1:12" ht="15.75" x14ac:dyDescent="0.25">
      <c r="A157">
        <v>501505</v>
      </c>
      <c r="B157" s="24">
        <v>360</v>
      </c>
      <c r="C157" s="21" t="s">
        <v>17</v>
      </c>
      <c r="D157" s="11"/>
      <c r="E157" s="36">
        <v>0</v>
      </c>
      <c r="F157" s="36">
        <v>0</v>
      </c>
      <c r="G157" s="36">
        <v>0</v>
      </c>
      <c r="H157" s="13">
        <f t="shared" si="7"/>
        <v>0</v>
      </c>
      <c r="I157" s="12"/>
      <c r="J157" s="14">
        <f t="shared" si="6"/>
        <v>0</v>
      </c>
      <c r="L157" s="34">
        <f t="shared" si="8"/>
        <v>0</v>
      </c>
    </row>
    <row r="158" spans="1:12" ht="15.75" x14ac:dyDescent="0.25">
      <c r="B158" s="20">
        <v>250</v>
      </c>
      <c r="C158" s="21" t="s">
        <v>111</v>
      </c>
      <c r="D158" s="11"/>
      <c r="E158" s="36">
        <v>0</v>
      </c>
      <c r="F158" s="36">
        <v>0</v>
      </c>
      <c r="G158" s="36">
        <v>0</v>
      </c>
      <c r="H158" s="13">
        <f t="shared" si="7"/>
        <v>0</v>
      </c>
      <c r="I158" s="12"/>
      <c r="J158" s="14">
        <f t="shared" si="6"/>
        <v>0</v>
      </c>
      <c r="L158" s="34">
        <f t="shared" si="8"/>
        <v>0</v>
      </c>
    </row>
    <row r="159" spans="1:12" ht="15.75" x14ac:dyDescent="0.25">
      <c r="B159" s="20">
        <v>250</v>
      </c>
      <c r="C159" s="21" t="s">
        <v>112</v>
      </c>
      <c r="D159" s="11"/>
      <c r="E159" s="36">
        <v>0</v>
      </c>
      <c r="F159" s="36">
        <v>0</v>
      </c>
      <c r="G159" s="36">
        <v>0</v>
      </c>
      <c r="H159" s="13">
        <f t="shared" si="7"/>
        <v>0</v>
      </c>
      <c r="I159" s="12"/>
      <c r="J159" s="14">
        <f t="shared" si="6"/>
        <v>0</v>
      </c>
      <c r="L159" s="34">
        <f t="shared" si="8"/>
        <v>0</v>
      </c>
    </row>
    <row r="160" spans="1:12" ht="15.75" x14ac:dyDescent="0.25">
      <c r="A160">
        <v>501207</v>
      </c>
      <c r="B160" s="20">
        <v>360</v>
      </c>
      <c r="C160" s="21" t="s">
        <v>113</v>
      </c>
      <c r="D160" s="11"/>
      <c r="E160" s="36">
        <v>0</v>
      </c>
      <c r="F160" s="36">
        <v>0</v>
      </c>
      <c r="G160" s="36">
        <v>0</v>
      </c>
      <c r="H160" s="13">
        <f t="shared" si="7"/>
        <v>0</v>
      </c>
      <c r="I160" s="12"/>
      <c r="J160" s="14">
        <f t="shared" si="6"/>
        <v>0</v>
      </c>
      <c r="L160" s="34">
        <f t="shared" si="8"/>
        <v>0</v>
      </c>
    </row>
    <row r="161" spans="1:12" ht="15.75" x14ac:dyDescent="0.25">
      <c r="A161">
        <v>599858</v>
      </c>
      <c r="B161" s="22"/>
      <c r="C161" s="23" t="s">
        <v>114</v>
      </c>
      <c r="D161" s="11"/>
      <c r="E161" s="36">
        <v>0</v>
      </c>
      <c r="F161" s="36">
        <v>0</v>
      </c>
      <c r="G161" s="36">
        <v>0</v>
      </c>
      <c r="H161" s="13">
        <f t="shared" si="7"/>
        <v>0</v>
      </c>
      <c r="I161" s="12"/>
      <c r="J161" s="14">
        <f t="shared" si="6"/>
        <v>0</v>
      </c>
      <c r="L161" s="34">
        <f t="shared" si="8"/>
        <v>0</v>
      </c>
    </row>
    <row r="162" spans="1:12" ht="15.75" x14ac:dyDescent="0.25">
      <c r="A162">
        <v>599857</v>
      </c>
      <c r="B162" s="22"/>
      <c r="C162" s="23" t="s">
        <v>115</v>
      </c>
      <c r="D162" s="11"/>
      <c r="E162" s="36">
        <v>0</v>
      </c>
      <c r="F162" s="36">
        <v>0</v>
      </c>
      <c r="G162" s="36">
        <v>0</v>
      </c>
      <c r="H162" s="13">
        <f t="shared" si="7"/>
        <v>0</v>
      </c>
      <c r="I162" s="12"/>
      <c r="J162" s="14">
        <f t="shared" si="6"/>
        <v>0</v>
      </c>
      <c r="L162" s="34">
        <f t="shared" si="8"/>
        <v>0</v>
      </c>
    </row>
    <row r="163" spans="1:12" ht="15.75" x14ac:dyDescent="0.25">
      <c r="A163">
        <v>621972</v>
      </c>
      <c r="B163" s="20"/>
      <c r="C163" s="21" t="s">
        <v>116</v>
      </c>
      <c r="D163" s="11"/>
      <c r="E163" s="36">
        <v>0</v>
      </c>
      <c r="F163" s="36">
        <v>0</v>
      </c>
      <c r="G163" s="36">
        <v>0</v>
      </c>
      <c r="H163" s="13">
        <f t="shared" si="7"/>
        <v>0</v>
      </c>
      <c r="I163" s="12"/>
      <c r="J163" s="14">
        <f t="shared" si="6"/>
        <v>0</v>
      </c>
      <c r="L163" s="34">
        <f t="shared" si="8"/>
        <v>0</v>
      </c>
    </row>
    <row r="164" spans="1:12" ht="15.75" x14ac:dyDescent="0.25">
      <c r="A164">
        <v>622165</v>
      </c>
      <c r="B164" s="20"/>
      <c r="C164" s="21" t="s">
        <v>117</v>
      </c>
      <c r="D164" s="11">
        <v>6</v>
      </c>
      <c r="E164" s="36">
        <v>1</v>
      </c>
      <c r="F164" s="36">
        <v>0</v>
      </c>
      <c r="G164" s="36">
        <v>3</v>
      </c>
      <c r="H164" s="13">
        <f t="shared" si="7"/>
        <v>10</v>
      </c>
      <c r="I164" s="12"/>
      <c r="J164" s="14">
        <f t="shared" si="6"/>
        <v>10</v>
      </c>
      <c r="K164">
        <v>10</v>
      </c>
      <c r="L164" s="34">
        <f t="shared" si="8"/>
        <v>0</v>
      </c>
    </row>
    <row r="165" spans="1:12" ht="15.75" x14ac:dyDescent="0.25">
      <c r="B165" s="20">
        <v>300</v>
      </c>
      <c r="C165" s="21" t="s">
        <v>104</v>
      </c>
      <c r="D165" s="11"/>
      <c r="E165" s="36">
        <v>0</v>
      </c>
      <c r="F165" s="36">
        <v>0</v>
      </c>
      <c r="G165" s="36">
        <v>0</v>
      </c>
      <c r="H165" s="13">
        <f t="shared" si="7"/>
        <v>0</v>
      </c>
      <c r="I165" s="12"/>
      <c r="J165" s="14">
        <f t="shared" si="6"/>
        <v>0</v>
      </c>
      <c r="L165" s="34">
        <f t="shared" si="8"/>
        <v>0</v>
      </c>
    </row>
    <row r="166" spans="1:12" ht="15.75" x14ac:dyDescent="0.25">
      <c r="A166">
        <v>622164</v>
      </c>
      <c r="B166" s="20"/>
      <c r="C166" s="21" t="s">
        <v>118</v>
      </c>
      <c r="D166" s="11"/>
      <c r="E166" s="36">
        <v>0</v>
      </c>
      <c r="F166" s="36">
        <v>0</v>
      </c>
      <c r="G166" s="36">
        <v>0</v>
      </c>
      <c r="H166" s="13">
        <f t="shared" si="7"/>
        <v>0</v>
      </c>
      <c r="I166" s="12"/>
      <c r="J166" s="14">
        <f t="shared" si="6"/>
        <v>0</v>
      </c>
      <c r="L166" s="34">
        <f t="shared" si="8"/>
        <v>0</v>
      </c>
    </row>
    <row r="167" spans="1:12" ht="15.75" x14ac:dyDescent="0.25">
      <c r="A167">
        <v>621967</v>
      </c>
      <c r="B167" s="20"/>
      <c r="C167" s="21" t="s">
        <v>118</v>
      </c>
      <c r="D167" s="11">
        <v>10</v>
      </c>
      <c r="E167" s="36">
        <v>1</v>
      </c>
      <c r="F167" s="36">
        <v>0</v>
      </c>
      <c r="G167" s="36">
        <v>1</v>
      </c>
      <c r="H167" s="13">
        <f t="shared" si="7"/>
        <v>12</v>
      </c>
      <c r="I167" s="12"/>
      <c r="J167" s="14">
        <f t="shared" si="6"/>
        <v>12</v>
      </c>
      <c r="K167">
        <v>12</v>
      </c>
      <c r="L167" s="34">
        <f t="shared" si="8"/>
        <v>0</v>
      </c>
    </row>
    <row r="168" spans="1:12" ht="15.75" x14ac:dyDescent="0.25">
      <c r="A168">
        <v>500032</v>
      </c>
      <c r="B168" s="24">
        <v>360</v>
      </c>
      <c r="C168" s="21" t="s">
        <v>104</v>
      </c>
      <c r="D168" s="11">
        <v>124</v>
      </c>
      <c r="E168" s="36">
        <v>15</v>
      </c>
      <c r="F168" s="36">
        <v>8</v>
      </c>
      <c r="G168" s="36">
        <v>10</v>
      </c>
      <c r="H168" s="13">
        <f t="shared" si="7"/>
        <v>157</v>
      </c>
      <c r="I168" s="12"/>
      <c r="J168" s="14">
        <f t="shared" si="6"/>
        <v>157</v>
      </c>
      <c r="K168">
        <v>157</v>
      </c>
      <c r="L168" s="34">
        <f t="shared" si="8"/>
        <v>0</v>
      </c>
    </row>
    <row r="169" spans="1:12" ht="15.75" x14ac:dyDescent="0.25">
      <c r="A169">
        <v>522459</v>
      </c>
      <c r="B169" s="24">
        <v>360</v>
      </c>
      <c r="C169" s="21" t="s">
        <v>119</v>
      </c>
      <c r="D169" s="11">
        <v>125</v>
      </c>
      <c r="E169" s="36">
        <v>30</v>
      </c>
      <c r="F169" s="36">
        <v>25</v>
      </c>
      <c r="G169" s="36">
        <v>30</v>
      </c>
      <c r="H169" s="13">
        <f t="shared" si="7"/>
        <v>210</v>
      </c>
      <c r="I169" s="12"/>
      <c r="J169" s="14">
        <f t="shared" si="6"/>
        <v>210</v>
      </c>
      <c r="K169">
        <v>210</v>
      </c>
      <c r="L169" s="34">
        <f t="shared" si="8"/>
        <v>0</v>
      </c>
    </row>
    <row r="170" spans="1:12" ht="15.75" x14ac:dyDescent="0.25">
      <c r="A170">
        <v>522451</v>
      </c>
      <c r="B170" s="24">
        <v>360</v>
      </c>
      <c r="C170" s="21" t="s">
        <v>120</v>
      </c>
      <c r="D170" s="11">
        <v>189</v>
      </c>
      <c r="E170" s="36">
        <v>30</v>
      </c>
      <c r="F170" s="36">
        <v>40</v>
      </c>
      <c r="G170" s="36">
        <v>30</v>
      </c>
      <c r="H170" s="13">
        <f t="shared" si="7"/>
        <v>289</v>
      </c>
      <c r="I170" s="12"/>
      <c r="J170" s="14">
        <f t="shared" si="6"/>
        <v>289</v>
      </c>
      <c r="K170">
        <v>289</v>
      </c>
      <c r="L170" s="34">
        <f t="shared" si="8"/>
        <v>0</v>
      </c>
    </row>
    <row r="171" spans="1:12" ht="15.75" x14ac:dyDescent="0.25">
      <c r="A171">
        <v>522450</v>
      </c>
      <c r="B171" s="24">
        <v>360</v>
      </c>
      <c r="C171" s="21" t="s">
        <v>121</v>
      </c>
      <c r="D171" s="11">
        <v>61</v>
      </c>
      <c r="E171" s="36">
        <v>30</v>
      </c>
      <c r="F171" s="36">
        <v>45</v>
      </c>
      <c r="G171" s="36">
        <v>30</v>
      </c>
      <c r="H171" s="13">
        <f t="shared" si="7"/>
        <v>166</v>
      </c>
      <c r="I171" s="12"/>
      <c r="J171" s="14">
        <f t="shared" si="6"/>
        <v>166</v>
      </c>
      <c r="K171">
        <v>166</v>
      </c>
      <c r="L171" s="34">
        <f t="shared" si="8"/>
        <v>0</v>
      </c>
    </row>
    <row r="172" spans="1:12" ht="15.75" x14ac:dyDescent="0.25">
      <c r="A172">
        <v>522461</v>
      </c>
      <c r="B172" s="20">
        <v>360</v>
      </c>
      <c r="C172" s="21" t="s">
        <v>122</v>
      </c>
      <c r="D172" s="11"/>
      <c r="E172" s="36">
        <v>0</v>
      </c>
      <c r="F172" s="36">
        <v>0</v>
      </c>
      <c r="G172" s="36">
        <v>0</v>
      </c>
      <c r="H172" s="13">
        <f t="shared" si="7"/>
        <v>0</v>
      </c>
      <c r="I172" s="12"/>
      <c r="J172" s="14">
        <f t="shared" si="6"/>
        <v>0</v>
      </c>
      <c r="L172" s="34">
        <f t="shared" si="8"/>
        <v>0</v>
      </c>
    </row>
    <row r="173" spans="1:12" ht="15.75" x14ac:dyDescent="0.25">
      <c r="A173">
        <v>522463</v>
      </c>
      <c r="B173" s="20">
        <v>360</v>
      </c>
      <c r="C173" s="21" t="s">
        <v>123</v>
      </c>
      <c r="D173" s="11"/>
      <c r="E173" s="36">
        <v>0</v>
      </c>
      <c r="F173" s="36">
        <v>0</v>
      </c>
      <c r="G173" s="36">
        <v>0</v>
      </c>
      <c r="H173" s="13">
        <f t="shared" si="7"/>
        <v>0</v>
      </c>
      <c r="I173" s="12"/>
      <c r="J173" s="14">
        <f t="shared" si="6"/>
        <v>0</v>
      </c>
      <c r="L173" s="34">
        <f t="shared" si="8"/>
        <v>0</v>
      </c>
    </row>
    <row r="174" spans="1:12" ht="15.75" x14ac:dyDescent="0.25">
      <c r="A174">
        <v>522462</v>
      </c>
      <c r="B174" s="22">
        <v>360</v>
      </c>
      <c r="C174" s="23" t="s">
        <v>124</v>
      </c>
      <c r="D174" s="11"/>
      <c r="E174" s="36">
        <v>0</v>
      </c>
      <c r="F174" s="36">
        <v>0</v>
      </c>
      <c r="G174" s="36">
        <v>0</v>
      </c>
      <c r="H174" s="13">
        <f t="shared" si="7"/>
        <v>0</v>
      </c>
      <c r="I174" s="12"/>
      <c r="J174" s="14">
        <f t="shared" si="6"/>
        <v>0</v>
      </c>
      <c r="L174" s="34">
        <f t="shared" si="8"/>
        <v>0</v>
      </c>
    </row>
    <row r="175" spans="1:12" ht="15.75" x14ac:dyDescent="0.25">
      <c r="A175">
        <v>522460</v>
      </c>
      <c r="B175" s="22">
        <v>360</v>
      </c>
      <c r="C175" s="23" t="s">
        <v>125</v>
      </c>
      <c r="D175" s="11"/>
      <c r="E175" s="36">
        <v>0</v>
      </c>
      <c r="F175" s="36">
        <v>0</v>
      </c>
      <c r="G175" s="36">
        <v>0</v>
      </c>
      <c r="H175" s="13">
        <f t="shared" si="7"/>
        <v>0</v>
      </c>
      <c r="I175" s="12"/>
      <c r="J175" s="14">
        <f t="shared" si="6"/>
        <v>0</v>
      </c>
      <c r="L175" s="34">
        <f t="shared" si="8"/>
        <v>0</v>
      </c>
    </row>
    <row r="176" spans="1:12" ht="15.75" x14ac:dyDescent="0.25">
      <c r="A176">
        <v>522921</v>
      </c>
      <c r="B176" s="20">
        <v>600</v>
      </c>
      <c r="C176" s="21" t="s">
        <v>126</v>
      </c>
      <c r="D176" s="11"/>
      <c r="E176" s="36">
        <v>0</v>
      </c>
      <c r="F176" s="36">
        <v>0</v>
      </c>
      <c r="G176" s="36">
        <v>0</v>
      </c>
      <c r="H176" s="13">
        <f t="shared" si="7"/>
        <v>0</v>
      </c>
      <c r="I176" s="12"/>
      <c r="J176" s="14">
        <f t="shared" si="6"/>
        <v>0</v>
      </c>
      <c r="L176" s="34">
        <f t="shared" si="8"/>
        <v>0</v>
      </c>
    </row>
    <row r="177" spans="1:12" ht="15.75" x14ac:dyDescent="0.25">
      <c r="A177">
        <v>522906</v>
      </c>
      <c r="B177" s="24">
        <v>600</v>
      </c>
      <c r="C177" s="21" t="s">
        <v>121</v>
      </c>
      <c r="D177" s="11"/>
      <c r="E177" s="36">
        <v>0</v>
      </c>
      <c r="F177" s="36">
        <v>0</v>
      </c>
      <c r="G177" s="36">
        <v>0</v>
      </c>
      <c r="H177" s="13">
        <f t="shared" si="7"/>
        <v>0</v>
      </c>
      <c r="I177" s="12"/>
      <c r="J177" s="14">
        <f t="shared" si="6"/>
        <v>0</v>
      </c>
      <c r="L177" s="34">
        <f t="shared" si="8"/>
        <v>0</v>
      </c>
    </row>
    <row r="178" spans="1:12" ht="15.75" x14ac:dyDescent="0.25">
      <c r="A178">
        <v>522907</v>
      </c>
      <c r="B178" s="24">
        <v>600</v>
      </c>
      <c r="C178" s="21" t="s">
        <v>120</v>
      </c>
      <c r="D178" s="11"/>
      <c r="E178" s="36">
        <v>0</v>
      </c>
      <c r="F178" s="36">
        <v>0</v>
      </c>
      <c r="G178" s="36">
        <v>0</v>
      </c>
      <c r="H178" s="13">
        <f t="shared" si="7"/>
        <v>0</v>
      </c>
      <c r="I178" s="12"/>
      <c r="J178" s="14">
        <f t="shared" si="6"/>
        <v>0</v>
      </c>
      <c r="L178" s="34">
        <f t="shared" si="8"/>
        <v>0</v>
      </c>
    </row>
    <row r="179" spans="1:12" ht="15.75" x14ac:dyDescent="0.25">
      <c r="A179">
        <v>522499</v>
      </c>
      <c r="B179" s="20">
        <v>625</v>
      </c>
      <c r="C179" s="21" t="s">
        <v>14</v>
      </c>
      <c r="D179" s="11"/>
      <c r="E179" s="36">
        <v>0</v>
      </c>
      <c r="F179" s="36">
        <v>0</v>
      </c>
      <c r="G179" s="36">
        <v>0</v>
      </c>
      <c r="H179" s="13">
        <f t="shared" si="7"/>
        <v>0</v>
      </c>
      <c r="I179" s="12"/>
      <c r="J179" s="14">
        <f t="shared" si="6"/>
        <v>0</v>
      </c>
      <c r="L179" s="34">
        <f t="shared" si="8"/>
        <v>0</v>
      </c>
    </row>
    <row r="180" spans="1:12" ht="15.75" x14ac:dyDescent="0.25">
      <c r="A180">
        <v>522496</v>
      </c>
      <c r="B180" s="20">
        <v>625</v>
      </c>
      <c r="C180" s="21" t="s">
        <v>127</v>
      </c>
      <c r="D180" s="11"/>
      <c r="E180" s="36">
        <v>0</v>
      </c>
      <c r="F180" s="36">
        <v>0</v>
      </c>
      <c r="G180" s="36">
        <v>0</v>
      </c>
      <c r="H180" s="13">
        <f t="shared" si="7"/>
        <v>0</v>
      </c>
      <c r="I180" s="12"/>
      <c r="J180" s="14">
        <f t="shared" si="6"/>
        <v>0</v>
      </c>
      <c r="L180" s="34">
        <f t="shared" si="8"/>
        <v>0</v>
      </c>
    </row>
    <row r="181" spans="1:12" ht="15.75" x14ac:dyDescent="0.25">
      <c r="A181">
        <v>522498</v>
      </c>
      <c r="B181" s="20">
        <v>625</v>
      </c>
      <c r="C181" s="21" t="s">
        <v>128</v>
      </c>
      <c r="D181" s="11"/>
      <c r="E181" s="36">
        <v>0</v>
      </c>
      <c r="F181" s="36">
        <v>0</v>
      </c>
      <c r="G181" s="36">
        <v>0</v>
      </c>
      <c r="H181" s="13">
        <f t="shared" si="7"/>
        <v>0</v>
      </c>
      <c r="I181" s="12"/>
      <c r="J181" s="14">
        <f t="shared" si="6"/>
        <v>0</v>
      </c>
      <c r="L181" s="34">
        <f t="shared" si="8"/>
        <v>0</v>
      </c>
    </row>
    <row r="182" spans="1:12" ht="15.75" x14ac:dyDescent="0.25">
      <c r="A182">
        <v>522497</v>
      </c>
      <c r="B182" s="20">
        <v>625</v>
      </c>
      <c r="C182" s="21" t="s">
        <v>129</v>
      </c>
      <c r="D182" s="11"/>
      <c r="E182" s="36">
        <v>0</v>
      </c>
      <c r="F182" s="36">
        <v>0</v>
      </c>
      <c r="G182" s="36">
        <v>0</v>
      </c>
      <c r="H182" s="13">
        <f t="shared" si="7"/>
        <v>0</v>
      </c>
      <c r="I182" s="12"/>
      <c r="J182" s="14">
        <f t="shared" si="6"/>
        <v>0</v>
      </c>
      <c r="L182" s="34">
        <f t="shared" si="8"/>
        <v>0</v>
      </c>
    </row>
    <row r="183" spans="1:12" ht="15.75" x14ac:dyDescent="0.25">
      <c r="A183">
        <v>523188</v>
      </c>
      <c r="B183" s="20"/>
      <c r="C183" s="21" t="s">
        <v>130</v>
      </c>
      <c r="D183" s="11">
        <v>24</v>
      </c>
      <c r="E183" s="36">
        <v>20</v>
      </c>
      <c r="F183" s="36">
        <v>0</v>
      </c>
      <c r="G183" s="36">
        <v>0</v>
      </c>
      <c r="H183" s="13">
        <f t="shared" si="7"/>
        <v>44</v>
      </c>
      <c r="I183" s="12"/>
      <c r="J183" s="14">
        <f t="shared" si="6"/>
        <v>44</v>
      </c>
      <c r="K183">
        <v>44</v>
      </c>
      <c r="L183" s="34">
        <f t="shared" si="8"/>
        <v>0</v>
      </c>
    </row>
    <row r="184" spans="1:12" ht="16.5" thickBot="1" x14ac:dyDescent="0.3">
      <c r="B184" s="25"/>
      <c r="C184" s="26"/>
      <c r="D184" s="27"/>
      <c r="E184" s="28"/>
      <c r="F184" s="29"/>
      <c r="G184" s="28"/>
      <c r="H184" s="30"/>
      <c r="I184" s="28"/>
      <c r="J184" s="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workbookViewId="0">
      <selection activeCell="E169" sqref="E169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7.5703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8.5703125" style="43" bestFit="1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5" t="s">
        <v>133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/>
      <c r="G2" s="36"/>
      <c r="H2" s="36"/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D2*I2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/>
      <c r="G3" s="36"/>
      <c r="H3" s="36"/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D3*I3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>
        <v>12</v>
      </c>
      <c r="F4" s="36"/>
      <c r="G4" s="36">
        <v>8</v>
      </c>
      <c r="H4" s="36">
        <v>5</v>
      </c>
      <c r="I4" s="13">
        <f t="shared" si="0"/>
        <v>25</v>
      </c>
      <c r="J4" s="12"/>
      <c r="K4" s="14">
        <f t="shared" si="1"/>
        <v>25</v>
      </c>
      <c r="L4">
        <v>25</v>
      </c>
      <c r="M4" s="34">
        <f t="shared" si="2"/>
        <v>0</v>
      </c>
      <c r="N4" s="43">
        <f t="shared" si="3"/>
        <v>1400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>
        <v>18</v>
      </c>
      <c r="F5" s="36"/>
      <c r="G5" s="36">
        <v>2</v>
      </c>
      <c r="H5" s="36"/>
      <c r="I5" s="13">
        <f t="shared" si="0"/>
        <v>20</v>
      </c>
      <c r="J5" s="12"/>
      <c r="K5" s="14">
        <f t="shared" si="1"/>
        <v>20</v>
      </c>
      <c r="L5">
        <v>20</v>
      </c>
      <c r="M5" s="34">
        <f t="shared" si="2"/>
        <v>0</v>
      </c>
      <c r="N5" s="43">
        <f t="shared" si="3"/>
        <v>1120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349</v>
      </c>
      <c r="F6" s="36">
        <v>6</v>
      </c>
      <c r="G6" s="36">
        <v>26</v>
      </c>
      <c r="H6" s="36">
        <v>3</v>
      </c>
      <c r="I6" s="13">
        <f t="shared" si="0"/>
        <v>384</v>
      </c>
      <c r="J6" s="12"/>
      <c r="K6" s="14">
        <f t="shared" si="1"/>
        <v>384</v>
      </c>
      <c r="L6">
        <v>384</v>
      </c>
      <c r="M6" s="34">
        <f t="shared" si="2"/>
        <v>0</v>
      </c>
      <c r="N6" s="43">
        <f t="shared" si="3"/>
        <v>23424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>
        <v>10</v>
      </c>
      <c r="F7" s="36"/>
      <c r="G7" s="36">
        <v>4</v>
      </c>
      <c r="H7" s="36">
        <v>2</v>
      </c>
      <c r="I7" s="13">
        <f t="shared" si="0"/>
        <v>16</v>
      </c>
      <c r="J7" s="12"/>
      <c r="K7" s="14">
        <f t="shared" si="1"/>
        <v>16</v>
      </c>
      <c r="L7">
        <v>16</v>
      </c>
      <c r="M7" s="34">
        <f t="shared" si="2"/>
        <v>0</v>
      </c>
      <c r="N7" s="43">
        <f t="shared" si="3"/>
        <v>976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/>
      <c r="F8" s="36"/>
      <c r="G8" s="36"/>
      <c r="H8" s="36"/>
      <c r="I8" s="13">
        <f t="shared" si="0"/>
        <v>0</v>
      </c>
      <c r="J8" s="12"/>
      <c r="K8" s="14">
        <f t="shared" si="1"/>
        <v>0</v>
      </c>
      <c r="M8" s="34">
        <f t="shared" si="2"/>
        <v>0</v>
      </c>
      <c r="N8" s="43">
        <f t="shared" si="3"/>
        <v>0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/>
      <c r="F9" s="36"/>
      <c r="G9" s="36"/>
      <c r="H9" s="36"/>
      <c r="I9" s="13">
        <f t="shared" si="0"/>
        <v>0</v>
      </c>
      <c r="J9" s="12"/>
      <c r="K9" s="14">
        <f t="shared" si="1"/>
        <v>0</v>
      </c>
      <c r="M9" s="34">
        <f t="shared" si="2"/>
        <v>0</v>
      </c>
      <c r="N9" s="43">
        <f t="shared" si="3"/>
        <v>0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/>
      <c r="G10" s="36"/>
      <c r="H10" s="36"/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/>
      <c r="G11" s="36"/>
      <c r="H11" s="36"/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/>
      <c r="G12" s="36"/>
      <c r="H12" s="36"/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/>
      <c r="G13" s="36"/>
      <c r="H13" s="36"/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/>
      <c r="G14" s="36"/>
      <c r="H14" s="36"/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.75" x14ac:dyDescent="0.25">
      <c r="B15" s="9">
        <v>1800</v>
      </c>
      <c r="C15" s="10" t="s">
        <v>21</v>
      </c>
      <c r="D15" s="40">
        <v>38</v>
      </c>
      <c r="E15" s="11"/>
      <c r="F15" s="36"/>
      <c r="G15" s="36"/>
      <c r="H15" s="36"/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>
        <v>49</v>
      </c>
      <c r="F16" s="36">
        <v>8</v>
      </c>
      <c r="G16" s="36">
        <v>3</v>
      </c>
      <c r="H16" s="36">
        <v>13</v>
      </c>
      <c r="I16" s="13">
        <f t="shared" si="0"/>
        <v>73</v>
      </c>
      <c r="J16" s="12"/>
      <c r="K16" s="14">
        <f t="shared" si="1"/>
        <v>73</v>
      </c>
      <c r="L16">
        <v>73</v>
      </c>
      <c r="M16" s="34">
        <f t="shared" si="2"/>
        <v>0</v>
      </c>
      <c r="N16" s="43">
        <f t="shared" si="3"/>
        <v>2993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/>
      <c r="G17" s="36"/>
      <c r="H17" s="36"/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/>
      <c r="G18" s="36"/>
      <c r="H18" s="36"/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>
        <v>49</v>
      </c>
      <c r="F19" s="36"/>
      <c r="G19" s="36">
        <v>7</v>
      </c>
      <c r="H19" s="36"/>
      <c r="I19" s="13">
        <f t="shared" si="0"/>
        <v>56</v>
      </c>
      <c r="J19" s="12"/>
      <c r="K19" s="14">
        <f t="shared" si="1"/>
        <v>56</v>
      </c>
      <c r="L19">
        <v>56</v>
      </c>
      <c r="M19" s="34">
        <f t="shared" si="2"/>
        <v>0</v>
      </c>
      <c r="N19" s="43">
        <f t="shared" si="3"/>
        <v>2296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>
        <v>53</v>
      </c>
      <c r="F20" s="36"/>
      <c r="G20" s="36"/>
      <c r="H20" s="36"/>
      <c r="I20" s="13">
        <f t="shared" si="0"/>
        <v>53</v>
      </c>
      <c r="J20" s="12"/>
      <c r="K20" s="14">
        <f t="shared" si="1"/>
        <v>53</v>
      </c>
      <c r="L20">
        <v>53</v>
      </c>
      <c r="M20" s="34">
        <f t="shared" si="2"/>
        <v>0</v>
      </c>
      <c r="N20" s="43">
        <f t="shared" si="3"/>
        <v>2173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/>
      <c r="G21" s="36"/>
      <c r="H21" s="36"/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/>
      <c r="G22" s="36"/>
      <c r="H22" s="36"/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/>
      <c r="G23" s="36"/>
      <c r="H23" s="36"/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15</v>
      </c>
      <c r="F24" s="36">
        <v>1</v>
      </c>
      <c r="G24" s="36">
        <v>2</v>
      </c>
      <c r="H24" s="36"/>
      <c r="I24" s="13">
        <f t="shared" si="0"/>
        <v>18</v>
      </c>
      <c r="J24" s="12"/>
      <c r="K24" s="14">
        <f t="shared" si="1"/>
        <v>18</v>
      </c>
      <c r="L24">
        <v>18</v>
      </c>
      <c r="M24" s="34">
        <f t="shared" si="2"/>
        <v>0</v>
      </c>
      <c r="N24" s="43">
        <f t="shared" si="3"/>
        <v>630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/>
      <c r="G25" s="36"/>
      <c r="H25" s="36"/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/>
      <c r="G26" s="36"/>
      <c r="H26" s="36"/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>
        <v>37</v>
      </c>
      <c r="F27" s="36"/>
      <c r="G27" s="36"/>
      <c r="H27" s="36">
        <v>5</v>
      </c>
      <c r="I27" s="13">
        <f t="shared" si="0"/>
        <v>42</v>
      </c>
      <c r="J27" s="12"/>
      <c r="K27" s="14">
        <f t="shared" si="1"/>
        <v>42</v>
      </c>
      <c r="L27">
        <v>42</v>
      </c>
      <c r="M27" s="34">
        <f t="shared" si="2"/>
        <v>0</v>
      </c>
      <c r="N27" s="43">
        <f t="shared" si="3"/>
        <v>1869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/>
      <c r="G28" s="36"/>
      <c r="H28" s="36"/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/>
      <c r="G29" s="36"/>
      <c r="H29" s="36"/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/>
      <c r="G30" s="36"/>
      <c r="H30" s="36"/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/>
      <c r="G31" s="36"/>
      <c r="H31" s="36"/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/>
      <c r="G32" s="36"/>
      <c r="H32" s="36"/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/>
      <c r="F33" s="36"/>
      <c r="G33" s="36"/>
      <c r="H33" s="36"/>
      <c r="I33" s="13">
        <f t="shared" si="0"/>
        <v>0</v>
      </c>
      <c r="J33" s="12"/>
      <c r="K33" s="14">
        <f t="shared" si="1"/>
        <v>0</v>
      </c>
      <c r="M33" s="34">
        <f t="shared" si="2"/>
        <v>0</v>
      </c>
      <c r="N33" s="43">
        <f t="shared" si="3"/>
        <v>0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/>
      <c r="G34" s="36"/>
      <c r="H34" s="36"/>
      <c r="I34" s="13">
        <f t="shared" si="0"/>
        <v>0</v>
      </c>
      <c r="J34" s="12"/>
      <c r="K34" s="14">
        <f t="shared" si="1"/>
        <v>0</v>
      </c>
      <c r="M34" s="34">
        <f t="shared" si="2"/>
        <v>0</v>
      </c>
      <c r="N34" s="43">
        <f t="shared" si="3"/>
        <v>0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/>
      <c r="G35" s="36"/>
      <c r="H35" s="36"/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>
        <v>1</v>
      </c>
      <c r="F36" s="36"/>
      <c r="G36" s="36"/>
      <c r="H36" s="36"/>
      <c r="I36" s="13">
        <f t="shared" si="0"/>
        <v>1</v>
      </c>
      <c r="J36" s="12"/>
      <c r="K36" s="14">
        <f t="shared" si="1"/>
        <v>1</v>
      </c>
      <c r="L36">
        <v>1</v>
      </c>
      <c r="M36" s="34">
        <f t="shared" si="2"/>
        <v>0</v>
      </c>
      <c r="N36" s="43">
        <f t="shared" si="3"/>
        <v>25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>
        <v>102</v>
      </c>
      <c r="F37" s="36"/>
      <c r="G37" s="36">
        <v>3</v>
      </c>
      <c r="H37" s="36">
        <v>9</v>
      </c>
      <c r="I37" s="13">
        <f t="shared" si="0"/>
        <v>114</v>
      </c>
      <c r="J37" s="12"/>
      <c r="K37" s="14">
        <f t="shared" si="1"/>
        <v>114</v>
      </c>
      <c r="L37">
        <v>114</v>
      </c>
      <c r="M37" s="34">
        <f t="shared" si="2"/>
        <v>0</v>
      </c>
      <c r="N37" s="43">
        <f t="shared" si="3"/>
        <v>2850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/>
      <c r="G38" s="36"/>
      <c r="H38" s="36"/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/>
      <c r="G39" s="36"/>
      <c r="H39" s="36"/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/>
      <c r="G40" s="36"/>
      <c r="H40" s="36"/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/>
      <c r="G41" s="36"/>
      <c r="H41" s="36"/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/>
      <c r="G42" s="36"/>
      <c r="H42" s="36"/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/>
      <c r="F43" s="36"/>
      <c r="G43" s="36">
        <v>6</v>
      </c>
      <c r="H43" s="36"/>
      <c r="I43" s="13">
        <f t="shared" si="0"/>
        <v>6</v>
      </c>
      <c r="J43" s="12"/>
      <c r="K43" s="14">
        <f t="shared" si="1"/>
        <v>6</v>
      </c>
      <c r="L43">
        <v>6</v>
      </c>
      <c r="M43" s="34">
        <f t="shared" si="2"/>
        <v>0</v>
      </c>
      <c r="N43" s="43">
        <f t="shared" si="3"/>
        <v>180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/>
      <c r="G44" s="36"/>
      <c r="H44" s="36"/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/>
      <c r="G45" s="36"/>
      <c r="H45" s="36"/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/>
      <c r="G46" s="36"/>
      <c r="H46" s="36"/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/>
      <c r="G47" s="36"/>
      <c r="H47" s="36"/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/>
      <c r="G48" s="36"/>
      <c r="H48" s="36"/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/>
      <c r="G49" s="36"/>
      <c r="H49" s="36"/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/>
      <c r="G50" s="36"/>
      <c r="H50" s="36"/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191</v>
      </c>
      <c r="F51" s="36">
        <v>7</v>
      </c>
      <c r="G51" s="36">
        <v>2</v>
      </c>
      <c r="H51" s="36"/>
      <c r="I51" s="13">
        <f t="shared" si="0"/>
        <v>200</v>
      </c>
      <c r="J51" s="12"/>
      <c r="K51" s="14">
        <f t="shared" si="1"/>
        <v>200</v>
      </c>
      <c r="L51">
        <v>200</v>
      </c>
      <c r="M51" s="34">
        <f t="shared" si="2"/>
        <v>0</v>
      </c>
      <c r="N51" s="43">
        <f t="shared" si="3"/>
        <v>6000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/>
      <c r="G52" s="36"/>
      <c r="H52" s="36"/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>
        <v>5</v>
      </c>
      <c r="F53" s="36"/>
      <c r="G53" s="36"/>
      <c r="H53" s="36"/>
      <c r="I53" s="13">
        <f t="shared" si="0"/>
        <v>5</v>
      </c>
      <c r="J53" s="12"/>
      <c r="K53" s="14">
        <f>I53-J53</f>
        <v>5</v>
      </c>
      <c r="L53">
        <v>5</v>
      </c>
      <c r="M53" s="34">
        <f t="shared" si="2"/>
        <v>0</v>
      </c>
      <c r="N53" s="43">
        <f t="shared" si="3"/>
        <v>200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>
        <v>82</v>
      </c>
      <c r="F54" s="36"/>
      <c r="G54" s="36">
        <v>1</v>
      </c>
      <c r="H54" s="36">
        <v>3</v>
      </c>
      <c r="I54" s="13">
        <f t="shared" si="0"/>
        <v>86</v>
      </c>
      <c r="J54" s="12"/>
      <c r="K54" s="14">
        <f t="shared" si="1"/>
        <v>86</v>
      </c>
      <c r="L54">
        <v>86</v>
      </c>
      <c r="M54" s="34">
        <f t="shared" si="2"/>
        <v>0</v>
      </c>
      <c r="N54" s="43">
        <f t="shared" si="3"/>
        <v>2236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/>
      <c r="G55" s="36"/>
      <c r="H55" s="36"/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/>
      <c r="G56" s="36"/>
      <c r="H56" s="36"/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51</v>
      </c>
      <c r="F57" s="36"/>
      <c r="G57" s="36"/>
      <c r="H57" s="36"/>
      <c r="I57" s="13">
        <f t="shared" si="0"/>
        <v>51</v>
      </c>
      <c r="J57" s="12"/>
      <c r="K57" s="14">
        <f>I57-J57</f>
        <v>51</v>
      </c>
      <c r="L57">
        <v>51</v>
      </c>
      <c r="M57" s="34">
        <f t="shared" si="2"/>
        <v>0</v>
      </c>
      <c r="N57" s="43">
        <f t="shared" si="3"/>
        <v>1581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/>
      <c r="G58" s="36"/>
      <c r="H58" s="36"/>
      <c r="I58" s="13">
        <f t="shared" si="0"/>
        <v>0</v>
      </c>
      <c r="J58" s="12"/>
      <c r="K58" s="14">
        <f t="shared" ref="K58:K121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/>
      <c r="F59" s="36"/>
      <c r="G59" s="36"/>
      <c r="H59" s="36"/>
      <c r="I59" s="13">
        <f t="shared" si="0"/>
        <v>0</v>
      </c>
      <c r="J59" s="12"/>
      <c r="K59" s="14">
        <f t="shared" si="4"/>
        <v>0</v>
      </c>
      <c r="M59" s="34">
        <f t="shared" si="2"/>
        <v>0</v>
      </c>
      <c r="N59" s="43">
        <f t="shared" si="3"/>
        <v>0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>
        <v>1</v>
      </c>
      <c r="F60" s="36"/>
      <c r="G60" s="36"/>
      <c r="H60" s="36"/>
      <c r="I60" s="13">
        <f t="shared" si="0"/>
        <v>1</v>
      </c>
      <c r="J60" s="12"/>
      <c r="K60" s="14">
        <f t="shared" si="4"/>
        <v>1</v>
      </c>
      <c r="L60">
        <v>1</v>
      </c>
      <c r="M60" s="34">
        <f t="shared" si="2"/>
        <v>0</v>
      </c>
      <c r="N60" s="43">
        <f t="shared" si="3"/>
        <v>15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/>
      <c r="G61" s="36"/>
      <c r="H61" s="36"/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/>
      <c r="G62" s="36"/>
      <c r="H62" s="36"/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/>
      <c r="G63" s="36"/>
      <c r="H63" s="36"/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/>
      <c r="G64" s="36"/>
      <c r="H64" s="36"/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/>
      <c r="G65" s="36"/>
      <c r="H65" s="36"/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/>
      <c r="G66" s="36"/>
      <c r="H66" s="36"/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/>
      <c r="G67" s="36"/>
      <c r="H67" s="36"/>
      <c r="I67" s="13">
        <f t="shared" ref="I67:I130" si="5">E67+F67+G67+H67</f>
        <v>0</v>
      </c>
      <c r="J67" s="12"/>
      <c r="K67" s="14">
        <f t="shared" si="4"/>
        <v>0</v>
      </c>
      <c r="M67" s="34">
        <f t="shared" ref="M67:M130" si="6">L67-I67</f>
        <v>0</v>
      </c>
      <c r="N67" s="43">
        <f t="shared" ref="N67:N130" si="7">D67*I67</f>
        <v>0</v>
      </c>
    </row>
    <row r="68" spans="1:14" ht="15.75" x14ac:dyDescent="0.25">
      <c r="A68">
        <v>598822</v>
      </c>
      <c r="B68" s="9">
        <v>250</v>
      </c>
      <c r="C68" s="10" t="s">
        <v>61</v>
      </c>
      <c r="D68" s="40">
        <v>25</v>
      </c>
      <c r="E68" s="11"/>
      <c r="F68" s="36"/>
      <c r="G68" s="36"/>
      <c r="H68" s="36"/>
      <c r="I68" s="13">
        <f t="shared" si="5"/>
        <v>0</v>
      </c>
      <c r="J68" s="12"/>
      <c r="K68" s="14">
        <f t="shared" si="4"/>
        <v>0</v>
      </c>
      <c r="M68" s="34">
        <f t="shared" si="6"/>
        <v>0</v>
      </c>
      <c r="N68" s="43">
        <f t="shared" si="7"/>
        <v>0</v>
      </c>
    </row>
    <row r="69" spans="1:14" ht="15.75" x14ac:dyDescent="0.25">
      <c r="A69">
        <v>598823</v>
      </c>
      <c r="B69" s="9">
        <v>250</v>
      </c>
      <c r="C69" s="10" t="s">
        <v>62</v>
      </c>
      <c r="D69" s="40">
        <v>25</v>
      </c>
      <c r="E69" s="11"/>
      <c r="F69" s="36"/>
      <c r="G69" s="36"/>
      <c r="H69" s="36"/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B70" s="9">
        <v>250</v>
      </c>
      <c r="C70" s="10" t="s">
        <v>54</v>
      </c>
      <c r="D70" s="40">
        <v>25</v>
      </c>
      <c r="E70" s="11"/>
      <c r="F70" s="36"/>
      <c r="G70" s="36"/>
      <c r="H70" s="36"/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55</v>
      </c>
      <c r="D71" s="40">
        <v>25</v>
      </c>
      <c r="E71" s="11"/>
      <c r="F71" s="36"/>
      <c r="G71" s="36"/>
      <c r="H71" s="36"/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56</v>
      </c>
      <c r="D72" s="40">
        <v>25</v>
      </c>
      <c r="E72" s="11"/>
      <c r="F72" s="36"/>
      <c r="G72" s="36"/>
      <c r="H72" s="36"/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1000</v>
      </c>
      <c r="C73" s="10" t="s">
        <v>52</v>
      </c>
      <c r="D73" s="40">
        <v>35</v>
      </c>
      <c r="E73" s="11"/>
      <c r="F73" s="36"/>
      <c r="G73" s="36"/>
      <c r="H73" s="36"/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53</v>
      </c>
      <c r="D74" s="40">
        <v>35</v>
      </c>
      <c r="E74" s="11"/>
      <c r="F74" s="36"/>
      <c r="G74" s="36"/>
      <c r="H74" s="36"/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54</v>
      </c>
      <c r="D75" s="40">
        <v>35</v>
      </c>
      <c r="E75" s="11"/>
      <c r="F75" s="36"/>
      <c r="G75" s="36"/>
      <c r="H75" s="36"/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55</v>
      </c>
      <c r="D76" s="40">
        <v>35</v>
      </c>
      <c r="E76" s="11"/>
      <c r="F76" s="36"/>
      <c r="G76" s="36"/>
      <c r="H76" s="36"/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56</v>
      </c>
      <c r="D77" s="40">
        <v>35</v>
      </c>
      <c r="E77" s="11"/>
      <c r="F77" s="36"/>
      <c r="G77" s="36"/>
      <c r="H77" s="36"/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A78">
        <v>599461</v>
      </c>
      <c r="B78" s="18">
        <v>145</v>
      </c>
      <c r="C78" s="10" t="s">
        <v>63</v>
      </c>
      <c r="D78" s="40">
        <v>15</v>
      </c>
      <c r="E78" s="11"/>
      <c r="F78" s="36"/>
      <c r="G78" s="36"/>
      <c r="H78" s="36"/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B79" s="9">
        <v>145</v>
      </c>
      <c r="C79" s="10" t="s">
        <v>64</v>
      </c>
      <c r="D79" s="40">
        <v>15</v>
      </c>
      <c r="E79" s="11"/>
      <c r="F79" s="36"/>
      <c r="G79" s="36"/>
      <c r="H79" s="36"/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65</v>
      </c>
      <c r="D80" s="40">
        <v>15</v>
      </c>
      <c r="E80" s="11"/>
      <c r="F80" s="36"/>
      <c r="G80" s="36"/>
      <c r="H80" s="36"/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A81">
        <v>522287</v>
      </c>
      <c r="B81" s="9">
        <v>360</v>
      </c>
      <c r="C81" s="10" t="s">
        <v>66</v>
      </c>
      <c r="D81" s="40">
        <v>20</v>
      </c>
      <c r="E81" s="11"/>
      <c r="F81" s="36"/>
      <c r="G81" s="36"/>
      <c r="H81" s="36"/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522286</v>
      </c>
      <c r="B82" s="18">
        <v>360</v>
      </c>
      <c r="C82" s="10" t="s">
        <v>67</v>
      </c>
      <c r="D82" s="40">
        <v>20</v>
      </c>
      <c r="E82" s="11"/>
      <c r="F82" s="36"/>
      <c r="G82" s="36"/>
      <c r="H82" s="36"/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522278</v>
      </c>
      <c r="B83" s="18">
        <v>360</v>
      </c>
      <c r="C83" s="10" t="s">
        <v>68</v>
      </c>
      <c r="D83" s="40">
        <v>20</v>
      </c>
      <c r="E83" s="11"/>
      <c r="F83" s="36"/>
      <c r="G83" s="36"/>
      <c r="H83" s="36"/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B84" s="9">
        <v>360</v>
      </c>
      <c r="C84" s="10" t="s">
        <v>69</v>
      </c>
      <c r="D84" s="40">
        <v>20</v>
      </c>
      <c r="E84" s="11"/>
      <c r="F84" s="36"/>
      <c r="G84" s="36"/>
      <c r="H84" s="36"/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70</v>
      </c>
      <c r="D85" s="40">
        <v>20</v>
      </c>
      <c r="E85" s="11"/>
      <c r="F85" s="36"/>
      <c r="G85" s="36"/>
      <c r="H85" s="36"/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71</v>
      </c>
      <c r="D86" s="40">
        <v>20</v>
      </c>
      <c r="E86" s="11"/>
      <c r="F86" s="36"/>
      <c r="G86" s="36"/>
      <c r="H86" s="36"/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72</v>
      </c>
      <c r="D87" s="40">
        <v>20</v>
      </c>
      <c r="E87" s="11"/>
      <c r="F87" s="36"/>
      <c r="G87" s="36"/>
      <c r="H87" s="36"/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A88">
        <v>522501</v>
      </c>
      <c r="B88" s="9">
        <v>625</v>
      </c>
      <c r="C88" s="10" t="s">
        <v>66</v>
      </c>
      <c r="D88" s="40">
        <v>50</v>
      </c>
      <c r="E88" s="11">
        <v>50</v>
      </c>
      <c r="F88" s="36"/>
      <c r="G88" s="36">
        <v>12</v>
      </c>
      <c r="H88" s="36">
        <v>15</v>
      </c>
      <c r="I88" s="13">
        <f t="shared" si="5"/>
        <v>77</v>
      </c>
      <c r="J88" s="12"/>
      <c r="K88" s="14">
        <f>I88-J88</f>
        <v>77</v>
      </c>
      <c r="L88">
        <v>77</v>
      </c>
      <c r="M88" s="34">
        <f t="shared" si="6"/>
        <v>0</v>
      </c>
      <c r="N88" s="43">
        <f t="shared" si="7"/>
        <v>3850</v>
      </c>
    </row>
    <row r="89" spans="1:14" ht="15.75" x14ac:dyDescent="0.25">
      <c r="A89">
        <v>522502</v>
      </c>
      <c r="B89" s="9">
        <v>625</v>
      </c>
      <c r="C89" s="10" t="s">
        <v>68</v>
      </c>
      <c r="D89" s="40">
        <v>50</v>
      </c>
      <c r="E89" s="11">
        <v>107</v>
      </c>
      <c r="F89" s="36">
        <v>12</v>
      </c>
      <c r="G89" s="36"/>
      <c r="H89" s="36">
        <v>6</v>
      </c>
      <c r="I89" s="13">
        <f t="shared" si="5"/>
        <v>125</v>
      </c>
      <c r="J89" s="12"/>
      <c r="K89" s="14">
        <f t="shared" si="4"/>
        <v>125</v>
      </c>
      <c r="L89">
        <v>125</v>
      </c>
      <c r="M89" s="34">
        <f t="shared" si="6"/>
        <v>0</v>
      </c>
      <c r="N89" s="43">
        <f t="shared" si="7"/>
        <v>6250</v>
      </c>
    </row>
    <row r="90" spans="1:14" ht="15.75" x14ac:dyDescent="0.25">
      <c r="A90">
        <v>522500</v>
      </c>
      <c r="B90" s="9">
        <v>625</v>
      </c>
      <c r="C90" s="10" t="s">
        <v>67</v>
      </c>
      <c r="D90" s="40">
        <v>50</v>
      </c>
      <c r="E90" s="11">
        <v>179</v>
      </c>
      <c r="F90" s="36">
        <v>6</v>
      </c>
      <c r="G90" s="36">
        <v>1</v>
      </c>
      <c r="H90" s="36">
        <v>13</v>
      </c>
      <c r="I90" s="13">
        <f t="shared" si="5"/>
        <v>199</v>
      </c>
      <c r="J90" s="12"/>
      <c r="K90" s="14">
        <f t="shared" si="4"/>
        <v>199</v>
      </c>
      <c r="L90">
        <v>199</v>
      </c>
      <c r="M90" s="34">
        <f t="shared" si="6"/>
        <v>0</v>
      </c>
      <c r="N90" s="43">
        <f t="shared" si="7"/>
        <v>9950</v>
      </c>
    </row>
    <row r="91" spans="1:14" ht="15.75" x14ac:dyDescent="0.25">
      <c r="A91">
        <v>522499</v>
      </c>
      <c r="B91" s="9">
        <v>625</v>
      </c>
      <c r="C91" s="10" t="s">
        <v>73</v>
      </c>
      <c r="D91" s="40">
        <v>50</v>
      </c>
      <c r="E91" s="11">
        <v>26</v>
      </c>
      <c r="F91" s="36"/>
      <c r="G91" s="36">
        <v>5</v>
      </c>
      <c r="H91" s="36">
        <v>4</v>
      </c>
      <c r="I91" s="13">
        <f t="shared" si="5"/>
        <v>35</v>
      </c>
      <c r="J91" s="12"/>
      <c r="K91" s="14">
        <f t="shared" si="4"/>
        <v>35</v>
      </c>
      <c r="L91">
        <v>35</v>
      </c>
      <c r="M91" s="34">
        <f t="shared" si="6"/>
        <v>0</v>
      </c>
      <c r="N91" s="43">
        <f t="shared" si="7"/>
        <v>1750</v>
      </c>
    </row>
    <row r="92" spans="1:14" ht="15.75" x14ac:dyDescent="0.25">
      <c r="B92" s="9">
        <v>625</v>
      </c>
      <c r="C92" s="10" t="s">
        <v>70</v>
      </c>
      <c r="D92" s="40">
        <v>50</v>
      </c>
      <c r="E92" s="11"/>
      <c r="F92" s="36"/>
      <c r="G92" s="36"/>
      <c r="H92" s="36"/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B93" s="9">
        <v>625</v>
      </c>
      <c r="C93" s="10" t="s">
        <v>71</v>
      </c>
      <c r="D93" s="40">
        <v>50</v>
      </c>
      <c r="E93" s="11"/>
      <c r="F93" s="36"/>
      <c r="G93" s="36"/>
      <c r="H93" s="36"/>
      <c r="I93" s="13">
        <f t="shared" si="5"/>
        <v>0</v>
      </c>
      <c r="J93" s="12"/>
      <c r="K93" s="14">
        <f t="shared" si="4"/>
        <v>0</v>
      </c>
      <c r="M93" s="34">
        <f t="shared" si="6"/>
        <v>0</v>
      </c>
      <c r="N93" s="43">
        <f t="shared" si="7"/>
        <v>0</v>
      </c>
    </row>
    <row r="94" spans="1:14" ht="15.75" x14ac:dyDescent="0.25">
      <c r="A94">
        <v>522498</v>
      </c>
      <c r="B94" s="9">
        <v>625</v>
      </c>
      <c r="C94" s="10" t="s">
        <v>74</v>
      </c>
      <c r="D94" s="40">
        <v>50</v>
      </c>
      <c r="E94" s="11"/>
      <c r="F94" s="36"/>
      <c r="G94" s="36"/>
      <c r="H94" s="36"/>
      <c r="I94" s="13">
        <f t="shared" si="5"/>
        <v>0</v>
      </c>
      <c r="J94" s="12"/>
      <c r="K94" s="14">
        <f t="shared" si="4"/>
        <v>0</v>
      </c>
      <c r="M94" s="34">
        <f t="shared" si="6"/>
        <v>0</v>
      </c>
      <c r="N94" s="43">
        <f t="shared" si="7"/>
        <v>0</v>
      </c>
    </row>
    <row r="95" spans="1:14" ht="15.75" x14ac:dyDescent="0.25">
      <c r="A95">
        <v>517507</v>
      </c>
      <c r="B95" s="18">
        <v>500</v>
      </c>
      <c r="C95" s="17" t="s">
        <v>75</v>
      </c>
      <c r="D95" s="40">
        <v>35</v>
      </c>
      <c r="E95" s="11"/>
      <c r="F95" s="36">
        <v>1</v>
      </c>
      <c r="G95" s="36">
        <v>1</v>
      </c>
      <c r="H95" s="36"/>
      <c r="I95" s="13">
        <f t="shared" si="5"/>
        <v>2</v>
      </c>
      <c r="J95" s="12"/>
      <c r="K95" s="14">
        <f t="shared" si="4"/>
        <v>2</v>
      </c>
      <c r="L95">
        <v>2</v>
      </c>
      <c r="M95" s="34">
        <f t="shared" si="6"/>
        <v>0</v>
      </c>
      <c r="N95" s="43">
        <f t="shared" si="7"/>
        <v>70</v>
      </c>
    </row>
    <row r="96" spans="1:14" ht="15.75" x14ac:dyDescent="0.25">
      <c r="A96">
        <v>517499</v>
      </c>
      <c r="B96" s="18">
        <v>360</v>
      </c>
      <c r="C96" s="17" t="s">
        <v>75</v>
      </c>
      <c r="D96" s="40">
        <v>25</v>
      </c>
      <c r="E96" s="11"/>
      <c r="F96" s="36"/>
      <c r="G96" s="36"/>
      <c r="H96" s="36"/>
      <c r="I96" s="13">
        <f t="shared" si="5"/>
        <v>0</v>
      </c>
      <c r="J96" s="12"/>
      <c r="K96" s="14">
        <f t="shared" si="4"/>
        <v>0</v>
      </c>
      <c r="M96" s="34">
        <f t="shared" si="6"/>
        <v>0</v>
      </c>
      <c r="N96" s="43">
        <f t="shared" si="7"/>
        <v>0</v>
      </c>
    </row>
    <row r="97" spans="1:14" ht="15.75" x14ac:dyDescent="0.25">
      <c r="B97" s="9">
        <v>625</v>
      </c>
      <c r="C97" s="10" t="s">
        <v>76</v>
      </c>
      <c r="D97" s="40">
        <v>44.5</v>
      </c>
      <c r="E97" s="11"/>
      <c r="F97" s="36"/>
      <c r="G97" s="36"/>
      <c r="H97" s="36"/>
      <c r="I97" s="13">
        <f t="shared" si="5"/>
        <v>0</v>
      </c>
      <c r="J97" s="12"/>
      <c r="K97" s="14">
        <f t="shared" si="4"/>
        <v>0</v>
      </c>
      <c r="M97" s="34">
        <f t="shared" si="6"/>
        <v>0</v>
      </c>
      <c r="N97" s="43">
        <f t="shared" si="7"/>
        <v>0</v>
      </c>
    </row>
    <row r="98" spans="1:14" ht="15.75" x14ac:dyDescent="0.25">
      <c r="B98" s="9">
        <v>3030</v>
      </c>
      <c r="C98" s="10" t="s">
        <v>76</v>
      </c>
      <c r="D98" s="40">
        <v>56</v>
      </c>
      <c r="E98" s="11"/>
      <c r="F98" s="36"/>
      <c r="G98" s="36"/>
      <c r="H98" s="36"/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355</v>
      </c>
      <c r="C99" s="10" t="s">
        <v>18</v>
      </c>
      <c r="D99" s="40">
        <v>44.5</v>
      </c>
      <c r="E99" s="11"/>
      <c r="F99" s="36"/>
      <c r="G99" s="36"/>
      <c r="H99" s="36"/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911</v>
      </c>
      <c r="C100" s="10" t="s">
        <v>77</v>
      </c>
      <c r="D100" s="40">
        <v>22.5</v>
      </c>
      <c r="E100" s="11"/>
      <c r="F100" s="36"/>
      <c r="G100" s="36"/>
      <c r="H100" s="36"/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A101">
        <v>500386</v>
      </c>
      <c r="B101" s="9">
        <v>355</v>
      </c>
      <c r="C101" s="10" t="s">
        <v>21</v>
      </c>
      <c r="D101" s="40">
        <v>15</v>
      </c>
      <c r="E101" s="11"/>
      <c r="F101" s="36"/>
      <c r="G101" s="36"/>
      <c r="H101" s="36"/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598944</v>
      </c>
      <c r="B102" s="20">
        <v>355</v>
      </c>
      <c r="C102" s="21" t="s">
        <v>14</v>
      </c>
      <c r="D102" s="40">
        <v>15</v>
      </c>
      <c r="E102" s="11"/>
      <c r="F102" s="36"/>
      <c r="G102" s="36"/>
      <c r="H102" s="36"/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B103" s="20">
        <v>355</v>
      </c>
      <c r="C103" s="21" t="s">
        <v>16</v>
      </c>
      <c r="D103" s="40">
        <v>15</v>
      </c>
      <c r="E103" s="11"/>
      <c r="F103" s="36"/>
      <c r="G103" s="36"/>
      <c r="H103" s="36"/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A104">
        <v>598947</v>
      </c>
      <c r="B104" s="20">
        <v>355</v>
      </c>
      <c r="C104" s="21" t="s">
        <v>15</v>
      </c>
      <c r="D104" s="40">
        <v>15</v>
      </c>
      <c r="E104" s="11"/>
      <c r="F104" s="36"/>
      <c r="G104" s="36"/>
      <c r="H104" s="36"/>
      <c r="I104" s="13">
        <f t="shared" si="5"/>
        <v>0</v>
      </c>
      <c r="J104" s="12"/>
      <c r="K104" s="14"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598943</v>
      </c>
      <c r="B105" s="20">
        <v>355</v>
      </c>
      <c r="C105" s="21" t="s">
        <v>17</v>
      </c>
      <c r="D105" s="40">
        <v>15</v>
      </c>
      <c r="E105" s="11"/>
      <c r="F105" s="36"/>
      <c r="G105" s="36"/>
      <c r="H105" s="36"/>
      <c r="I105" s="13">
        <f t="shared" si="5"/>
        <v>0</v>
      </c>
      <c r="J105" s="12"/>
      <c r="K105" s="14">
        <f t="shared" si="4"/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B106" s="20">
        <v>355</v>
      </c>
      <c r="C106" s="21" t="s">
        <v>78</v>
      </c>
      <c r="D106" s="40">
        <v>15</v>
      </c>
      <c r="E106" s="11"/>
      <c r="F106" s="36"/>
      <c r="G106" s="36"/>
      <c r="H106" s="36"/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79</v>
      </c>
      <c r="D107" s="40">
        <v>15</v>
      </c>
      <c r="E107" s="11"/>
      <c r="F107" s="36"/>
      <c r="G107" s="36"/>
      <c r="H107" s="36"/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80</v>
      </c>
      <c r="D108" s="40">
        <v>15</v>
      </c>
      <c r="E108" s="11"/>
      <c r="F108" s="36"/>
      <c r="G108" s="36"/>
      <c r="H108" s="36"/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145</v>
      </c>
      <c r="C109" s="21" t="s">
        <v>70</v>
      </c>
      <c r="D109" s="40">
        <v>10</v>
      </c>
      <c r="E109" s="11"/>
      <c r="F109" s="36"/>
      <c r="G109" s="36"/>
      <c r="H109" s="36"/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68</v>
      </c>
      <c r="D110" s="40">
        <v>10</v>
      </c>
      <c r="E110" s="11"/>
      <c r="F110" s="36"/>
      <c r="G110" s="36"/>
      <c r="H110" s="36"/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73</v>
      </c>
      <c r="D111" s="40">
        <v>10</v>
      </c>
      <c r="E111" s="11"/>
      <c r="F111" s="36"/>
      <c r="G111" s="36"/>
      <c r="H111" s="36"/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/>
      <c r="C112" s="21" t="s">
        <v>66</v>
      </c>
      <c r="D112" s="40">
        <v>10</v>
      </c>
      <c r="E112" s="11"/>
      <c r="F112" s="36"/>
      <c r="G112" s="36"/>
      <c r="H112" s="36"/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81</v>
      </c>
      <c r="D113" s="40">
        <v>10</v>
      </c>
      <c r="E113" s="11"/>
      <c r="F113" s="36"/>
      <c r="G113" s="36"/>
      <c r="H113" s="36"/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74</v>
      </c>
      <c r="D114" s="40">
        <v>10</v>
      </c>
      <c r="E114" s="11"/>
      <c r="F114" s="36"/>
      <c r="G114" s="36"/>
      <c r="H114" s="36"/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82</v>
      </c>
      <c r="D115" s="40">
        <v>10</v>
      </c>
      <c r="E115" s="11"/>
      <c r="F115" s="36"/>
      <c r="G115" s="36"/>
      <c r="H115" s="36"/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>
        <v>250</v>
      </c>
      <c r="C116" s="21" t="s">
        <v>12</v>
      </c>
      <c r="D116" s="40">
        <v>41</v>
      </c>
      <c r="E116" s="11"/>
      <c r="F116" s="36"/>
      <c r="G116" s="36"/>
      <c r="H116" s="36"/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83</v>
      </c>
      <c r="D117" s="40">
        <v>25</v>
      </c>
      <c r="E117" s="11"/>
      <c r="F117" s="36"/>
      <c r="G117" s="36"/>
      <c r="H117" s="36"/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1000</v>
      </c>
      <c r="C118" s="21" t="s">
        <v>83</v>
      </c>
      <c r="D118" s="40">
        <v>30</v>
      </c>
      <c r="E118" s="11"/>
      <c r="F118" s="36"/>
      <c r="G118" s="36"/>
      <c r="H118" s="36"/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250</v>
      </c>
      <c r="C119" s="21" t="s">
        <v>84</v>
      </c>
      <c r="D119" s="40">
        <v>25</v>
      </c>
      <c r="E119" s="11"/>
      <c r="F119" s="36"/>
      <c r="G119" s="36"/>
      <c r="H119" s="36"/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A120">
        <v>522665</v>
      </c>
      <c r="B120" s="22">
        <v>1.5</v>
      </c>
      <c r="C120" s="23" t="s">
        <v>85</v>
      </c>
      <c r="D120" s="40">
        <v>50</v>
      </c>
      <c r="E120" s="11"/>
      <c r="F120" s="36"/>
      <c r="G120" s="36"/>
      <c r="H120" s="36"/>
      <c r="I120" s="13">
        <f t="shared" si="5"/>
        <v>0</v>
      </c>
      <c r="J120" s="12"/>
      <c r="K120" s="14">
        <f t="shared" si="4"/>
        <v>0</v>
      </c>
      <c r="M120" s="34">
        <f t="shared" si="6"/>
        <v>0</v>
      </c>
      <c r="N120" s="43">
        <f t="shared" si="7"/>
        <v>0</v>
      </c>
    </row>
    <row r="121" spans="1:14" ht="15.75" x14ac:dyDescent="0.25">
      <c r="A121">
        <v>522664</v>
      </c>
      <c r="B121" s="20">
        <v>1.5</v>
      </c>
      <c r="C121" s="21" t="s">
        <v>86</v>
      </c>
      <c r="D121" s="40">
        <v>50</v>
      </c>
      <c r="E121" s="11"/>
      <c r="F121" s="36">
        <v>2</v>
      </c>
      <c r="G121" s="36"/>
      <c r="H121" s="36"/>
      <c r="I121" s="13">
        <f t="shared" si="5"/>
        <v>2</v>
      </c>
      <c r="J121" s="12"/>
      <c r="K121" s="14">
        <f t="shared" si="4"/>
        <v>2</v>
      </c>
      <c r="L121">
        <v>2</v>
      </c>
      <c r="M121" s="34">
        <f t="shared" si="6"/>
        <v>0</v>
      </c>
      <c r="N121" s="43">
        <f t="shared" si="7"/>
        <v>100</v>
      </c>
    </row>
    <row r="122" spans="1:14" ht="15.75" x14ac:dyDescent="0.25">
      <c r="B122" s="24">
        <v>250</v>
      </c>
      <c r="C122" s="21" t="s">
        <v>13</v>
      </c>
      <c r="D122" s="40">
        <v>41</v>
      </c>
      <c r="E122" s="11"/>
      <c r="F122" s="36"/>
      <c r="G122" s="36"/>
      <c r="H122" s="36"/>
      <c r="I122" s="13">
        <f t="shared" si="5"/>
        <v>0</v>
      </c>
      <c r="J122" s="12"/>
      <c r="K122" s="14">
        <f t="shared" ref="K122:K183" si="8">I122-J122</f>
        <v>0</v>
      </c>
      <c r="M122" s="34">
        <f t="shared" si="6"/>
        <v>0</v>
      </c>
      <c r="N122" s="43">
        <f t="shared" si="7"/>
        <v>0</v>
      </c>
    </row>
    <row r="123" spans="1:14" ht="15.75" x14ac:dyDescent="0.25">
      <c r="B123" s="20">
        <v>360</v>
      </c>
      <c r="C123" s="21" t="s">
        <v>87</v>
      </c>
      <c r="D123" s="40">
        <v>25</v>
      </c>
      <c r="E123" s="11"/>
      <c r="F123" s="36"/>
      <c r="G123" s="36"/>
      <c r="H123" s="36"/>
      <c r="I123" s="13">
        <f t="shared" si="5"/>
        <v>0</v>
      </c>
      <c r="J123" s="12"/>
      <c r="K123" s="14">
        <f t="shared" si="8"/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1000</v>
      </c>
      <c r="C124" s="21" t="s">
        <v>75</v>
      </c>
      <c r="D124" s="40">
        <v>75</v>
      </c>
      <c r="E124" s="11"/>
      <c r="F124" s="36"/>
      <c r="G124" s="36"/>
      <c r="H124" s="36"/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355</v>
      </c>
      <c r="C125" s="21" t="s">
        <v>88</v>
      </c>
      <c r="D125" s="40">
        <v>15</v>
      </c>
      <c r="E125" s="11"/>
      <c r="F125" s="36"/>
      <c r="G125" s="36"/>
      <c r="H125" s="36"/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330</v>
      </c>
      <c r="C126" s="21" t="s">
        <v>89</v>
      </c>
      <c r="D126" s="40">
        <v>20</v>
      </c>
      <c r="E126" s="11"/>
      <c r="F126" s="36"/>
      <c r="G126" s="36"/>
      <c r="H126" s="36"/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90</v>
      </c>
      <c r="D127" s="40">
        <v>20</v>
      </c>
      <c r="E127" s="11"/>
      <c r="F127" s="36"/>
      <c r="G127" s="36"/>
      <c r="H127" s="36"/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91</v>
      </c>
      <c r="D128" s="40">
        <v>20</v>
      </c>
      <c r="E128" s="11"/>
      <c r="F128" s="36"/>
      <c r="G128" s="36"/>
      <c r="H128" s="36"/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92</v>
      </c>
      <c r="D129" s="40">
        <v>20</v>
      </c>
      <c r="E129" s="11"/>
      <c r="F129" s="36"/>
      <c r="G129" s="36"/>
      <c r="H129" s="36"/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93</v>
      </c>
      <c r="D130" s="40">
        <v>20</v>
      </c>
      <c r="E130" s="11"/>
      <c r="F130" s="36"/>
      <c r="G130" s="36"/>
      <c r="H130" s="36"/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94</v>
      </c>
      <c r="D131" s="40">
        <v>20</v>
      </c>
      <c r="E131" s="11"/>
      <c r="F131" s="36"/>
      <c r="G131" s="36"/>
      <c r="H131" s="36"/>
      <c r="I131" s="13">
        <f t="shared" ref="I131:I183" si="9">E131+F131+G131+H131</f>
        <v>0</v>
      </c>
      <c r="J131" s="12"/>
      <c r="K131" s="14">
        <f t="shared" si="8"/>
        <v>0</v>
      </c>
      <c r="M131" s="34">
        <f t="shared" ref="M131:M183" si="10">L131-I131</f>
        <v>0</v>
      </c>
      <c r="N131" s="43">
        <f t="shared" ref="N131:N183" si="11">D131*I131</f>
        <v>0</v>
      </c>
    </row>
    <row r="132" spans="1:14" ht="15.75" x14ac:dyDescent="0.25">
      <c r="B132" s="20">
        <v>330</v>
      </c>
      <c r="C132" s="21" t="s">
        <v>95</v>
      </c>
      <c r="D132" s="40">
        <v>20</v>
      </c>
      <c r="E132" s="11"/>
      <c r="F132" s="36"/>
      <c r="G132" s="36"/>
      <c r="H132" s="36"/>
      <c r="I132" s="13">
        <f t="shared" si="9"/>
        <v>0</v>
      </c>
      <c r="J132" s="12"/>
      <c r="K132" s="14">
        <f t="shared" si="8"/>
        <v>0</v>
      </c>
      <c r="M132" s="34">
        <f t="shared" si="10"/>
        <v>0</v>
      </c>
      <c r="N132" s="43">
        <f t="shared" si="11"/>
        <v>0</v>
      </c>
    </row>
    <row r="133" spans="1:14" ht="15.75" x14ac:dyDescent="0.25">
      <c r="B133" s="20">
        <v>330</v>
      </c>
      <c r="C133" s="21" t="s">
        <v>96</v>
      </c>
      <c r="D133" s="40">
        <v>20</v>
      </c>
      <c r="E133" s="11"/>
      <c r="F133" s="36"/>
      <c r="G133" s="36"/>
      <c r="H133" s="36"/>
      <c r="I133" s="13">
        <f t="shared" si="9"/>
        <v>0</v>
      </c>
      <c r="J133" s="12"/>
      <c r="K133" s="14">
        <f t="shared" si="8"/>
        <v>0</v>
      </c>
      <c r="M133" s="34">
        <f t="shared" si="10"/>
        <v>0</v>
      </c>
      <c r="N133" s="43">
        <f t="shared" si="11"/>
        <v>0</v>
      </c>
    </row>
    <row r="134" spans="1:14" ht="15.75" x14ac:dyDescent="0.25">
      <c r="B134" s="20">
        <v>330</v>
      </c>
      <c r="C134" s="21" t="s">
        <v>97</v>
      </c>
      <c r="D134" s="40">
        <v>20</v>
      </c>
      <c r="E134" s="11"/>
      <c r="F134" s="36"/>
      <c r="G134" s="36"/>
      <c r="H134" s="36"/>
      <c r="I134" s="13">
        <f t="shared" si="9"/>
        <v>0</v>
      </c>
      <c r="J134" s="12"/>
      <c r="K134" s="14">
        <f t="shared" si="8"/>
        <v>0</v>
      </c>
      <c r="M134" s="34">
        <f t="shared" si="10"/>
        <v>0</v>
      </c>
      <c r="N134" s="43">
        <f t="shared" si="11"/>
        <v>0</v>
      </c>
    </row>
    <row r="135" spans="1:14" ht="15.75" x14ac:dyDescent="0.25">
      <c r="B135" s="20"/>
      <c r="C135" s="21" t="s">
        <v>98</v>
      </c>
      <c r="D135" s="40">
        <v>20</v>
      </c>
      <c r="E135" s="11"/>
      <c r="F135" s="36"/>
      <c r="G135" s="36"/>
      <c r="H135" s="36"/>
      <c r="I135" s="13">
        <f t="shared" si="9"/>
        <v>0</v>
      </c>
      <c r="J135" s="12"/>
      <c r="K135" s="14">
        <f t="shared" si="8"/>
        <v>0</v>
      </c>
      <c r="M135" s="34">
        <f t="shared" si="10"/>
        <v>0</v>
      </c>
      <c r="N135" s="43">
        <f t="shared" si="11"/>
        <v>0</v>
      </c>
    </row>
    <row r="136" spans="1:14" ht="15.75" x14ac:dyDescent="0.25">
      <c r="B136" s="24">
        <v>473</v>
      </c>
      <c r="C136" s="21" t="s">
        <v>43</v>
      </c>
      <c r="D136" s="40">
        <v>25</v>
      </c>
      <c r="E136" s="11"/>
      <c r="F136" s="36"/>
      <c r="G136" s="36"/>
      <c r="H136" s="36"/>
      <c r="I136" s="13">
        <f t="shared" si="9"/>
        <v>0</v>
      </c>
      <c r="J136" s="12"/>
      <c r="K136" s="14">
        <f t="shared" si="8"/>
        <v>0</v>
      </c>
      <c r="M136" s="34">
        <f t="shared" si="10"/>
        <v>0</v>
      </c>
      <c r="N136" s="43">
        <f t="shared" si="11"/>
        <v>0</v>
      </c>
    </row>
    <row r="137" spans="1:14" ht="15.75" x14ac:dyDescent="0.25">
      <c r="B137" s="24">
        <v>473</v>
      </c>
      <c r="C137" s="21" t="s">
        <v>45</v>
      </c>
      <c r="D137" s="40">
        <v>25</v>
      </c>
      <c r="E137" s="11"/>
      <c r="F137" s="36"/>
      <c r="G137" s="36"/>
      <c r="H137" s="36"/>
      <c r="I137" s="13">
        <f t="shared" si="9"/>
        <v>0</v>
      </c>
      <c r="J137" s="12"/>
      <c r="K137" s="14">
        <f t="shared" si="8"/>
        <v>0</v>
      </c>
      <c r="M137" s="34">
        <f t="shared" si="10"/>
        <v>0</v>
      </c>
      <c r="N137" s="43">
        <f t="shared" si="11"/>
        <v>0</v>
      </c>
    </row>
    <row r="138" spans="1:14" ht="15.75" x14ac:dyDescent="0.25">
      <c r="A138">
        <v>599675</v>
      </c>
      <c r="B138" s="24">
        <v>473</v>
      </c>
      <c r="C138" s="21" t="s">
        <v>99</v>
      </c>
      <c r="D138" s="40">
        <v>25</v>
      </c>
      <c r="E138" s="11"/>
      <c r="F138" s="36"/>
      <c r="G138" s="36"/>
      <c r="H138" s="36"/>
      <c r="I138" s="13">
        <f t="shared" si="9"/>
        <v>0</v>
      </c>
      <c r="J138" s="12"/>
      <c r="K138" s="14">
        <f t="shared" si="8"/>
        <v>0</v>
      </c>
      <c r="M138" s="34">
        <f t="shared" si="10"/>
        <v>0</v>
      </c>
      <c r="N138" s="43">
        <f t="shared" si="11"/>
        <v>0</v>
      </c>
    </row>
    <row r="139" spans="1:14" ht="15.75" x14ac:dyDescent="0.25">
      <c r="B139" s="20">
        <v>473</v>
      </c>
      <c r="C139" s="21" t="s">
        <v>46</v>
      </c>
      <c r="D139" s="40">
        <v>25</v>
      </c>
      <c r="E139" s="11"/>
      <c r="F139" s="36"/>
      <c r="G139" s="36"/>
      <c r="H139" s="36"/>
      <c r="I139" s="13">
        <f t="shared" si="9"/>
        <v>0</v>
      </c>
      <c r="J139" s="12"/>
      <c r="K139" s="14">
        <f t="shared" si="8"/>
        <v>0</v>
      </c>
      <c r="M139" s="34">
        <f t="shared" si="10"/>
        <v>0</v>
      </c>
      <c r="N139" s="43">
        <f t="shared" si="11"/>
        <v>0</v>
      </c>
    </row>
    <row r="140" spans="1:14" ht="15.75" x14ac:dyDescent="0.25">
      <c r="A140">
        <v>522564</v>
      </c>
      <c r="B140" s="20">
        <v>473</v>
      </c>
      <c r="C140" s="21" t="s">
        <v>100</v>
      </c>
      <c r="D140" s="40">
        <v>25</v>
      </c>
      <c r="E140" s="11"/>
      <c r="F140" s="36"/>
      <c r="G140" s="36"/>
      <c r="H140" s="36"/>
      <c r="I140" s="13">
        <f t="shared" si="9"/>
        <v>0</v>
      </c>
      <c r="J140" s="12"/>
      <c r="K140" s="14">
        <f>I140-J140</f>
        <v>0</v>
      </c>
      <c r="M140" s="34">
        <f t="shared" si="10"/>
        <v>0</v>
      </c>
      <c r="N140" s="43">
        <f t="shared" si="11"/>
        <v>0</v>
      </c>
    </row>
    <row r="141" spans="1:14" ht="15.75" x14ac:dyDescent="0.25">
      <c r="B141" s="20">
        <v>625</v>
      </c>
      <c r="C141" s="21" t="s">
        <v>100</v>
      </c>
      <c r="D141" s="40">
        <v>62.5</v>
      </c>
      <c r="E141" s="11"/>
      <c r="F141" s="36"/>
      <c r="G141" s="36"/>
      <c r="H141" s="36"/>
      <c r="I141" s="13">
        <f t="shared" si="9"/>
        <v>0</v>
      </c>
      <c r="J141" s="12"/>
      <c r="K141" s="14">
        <f t="shared" si="8"/>
        <v>0</v>
      </c>
      <c r="M141" s="34">
        <f t="shared" si="10"/>
        <v>0</v>
      </c>
      <c r="N141" s="43">
        <f t="shared" si="11"/>
        <v>0</v>
      </c>
    </row>
    <row r="142" spans="1:14" ht="15.75" x14ac:dyDescent="0.25">
      <c r="A142" t="s">
        <v>101</v>
      </c>
      <c r="B142" s="20"/>
      <c r="C142" s="21" t="s">
        <v>102</v>
      </c>
      <c r="D142" s="40">
        <v>60</v>
      </c>
      <c r="E142" s="11"/>
      <c r="F142" s="36"/>
      <c r="G142" s="36"/>
      <c r="H142" s="36"/>
      <c r="I142" s="13">
        <f t="shared" si="9"/>
        <v>0</v>
      </c>
      <c r="J142" s="12"/>
      <c r="K142" s="14">
        <f t="shared" si="8"/>
        <v>0</v>
      </c>
      <c r="M142" s="34">
        <f t="shared" si="10"/>
        <v>0</v>
      </c>
      <c r="N142" s="43">
        <f t="shared" si="11"/>
        <v>0</v>
      </c>
    </row>
    <row r="143" spans="1:14" ht="15.75" x14ac:dyDescent="0.25">
      <c r="B143" s="20">
        <v>400</v>
      </c>
      <c r="C143" s="21" t="s">
        <v>103</v>
      </c>
      <c r="D143" s="40">
        <v>25</v>
      </c>
      <c r="E143" s="11"/>
      <c r="F143" s="36"/>
      <c r="G143" s="36"/>
      <c r="H143" s="36"/>
      <c r="I143" s="13">
        <f t="shared" si="9"/>
        <v>0</v>
      </c>
      <c r="J143" s="12"/>
      <c r="K143" s="14">
        <f t="shared" si="8"/>
        <v>0</v>
      </c>
      <c r="M143" s="34">
        <f t="shared" si="10"/>
        <v>0</v>
      </c>
      <c r="N143" s="43">
        <f t="shared" si="11"/>
        <v>0</v>
      </c>
    </row>
    <row r="144" spans="1:14" ht="15.75" x14ac:dyDescent="0.25">
      <c r="B144" s="20">
        <v>300</v>
      </c>
      <c r="C144" s="21" t="s">
        <v>43</v>
      </c>
      <c r="D144" s="40">
        <v>30</v>
      </c>
      <c r="E144" s="11"/>
      <c r="F144" s="36"/>
      <c r="G144" s="36"/>
      <c r="H144" s="36"/>
      <c r="I144" s="13">
        <f t="shared" si="9"/>
        <v>0</v>
      </c>
      <c r="J144" s="12"/>
      <c r="K144" s="14">
        <f t="shared" si="8"/>
        <v>0</v>
      </c>
      <c r="M144" s="34">
        <f t="shared" si="10"/>
        <v>0</v>
      </c>
      <c r="N144" s="43">
        <f t="shared" si="11"/>
        <v>0</v>
      </c>
    </row>
    <row r="145" spans="1:14" ht="15.75" x14ac:dyDescent="0.25">
      <c r="B145" s="20">
        <v>300</v>
      </c>
      <c r="C145" s="21" t="s">
        <v>45</v>
      </c>
      <c r="D145" s="40">
        <v>30</v>
      </c>
      <c r="E145" s="11"/>
      <c r="F145" s="36"/>
      <c r="G145" s="36"/>
      <c r="H145" s="36"/>
      <c r="I145" s="13">
        <f t="shared" si="9"/>
        <v>0</v>
      </c>
      <c r="J145" s="12"/>
      <c r="K145" s="14">
        <f t="shared" si="8"/>
        <v>0</v>
      </c>
      <c r="M145" s="34">
        <f t="shared" si="10"/>
        <v>0</v>
      </c>
      <c r="N145" s="43">
        <f t="shared" si="11"/>
        <v>0</v>
      </c>
    </row>
    <row r="146" spans="1:14" ht="15.75" x14ac:dyDescent="0.25">
      <c r="B146" s="20">
        <v>300</v>
      </c>
      <c r="C146" s="21" t="s">
        <v>44</v>
      </c>
      <c r="D146" s="40">
        <v>30</v>
      </c>
      <c r="E146" s="11"/>
      <c r="F146" s="36"/>
      <c r="G146" s="36"/>
      <c r="H146" s="36"/>
      <c r="I146" s="13">
        <f t="shared" si="9"/>
        <v>0</v>
      </c>
      <c r="J146" s="12"/>
      <c r="K146" s="14">
        <f t="shared" si="8"/>
        <v>0</v>
      </c>
      <c r="M146" s="34">
        <f t="shared" si="10"/>
        <v>0</v>
      </c>
      <c r="N146" s="43">
        <f t="shared" si="11"/>
        <v>0</v>
      </c>
    </row>
    <row r="147" spans="1:14" ht="15.75" x14ac:dyDescent="0.25">
      <c r="B147" s="20">
        <v>1090</v>
      </c>
      <c r="C147" s="21" t="s">
        <v>11</v>
      </c>
      <c r="D147" s="40">
        <v>25</v>
      </c>
      <c r="E147" s="11"/>
      <c r="F147" s="36"/>
      <c r="G147" s="36"/>
      <c r="H147" s="36"/>
      <c r="I147" s="13">
        <f t="shared" si="9"/>
        <v>0</v>
      </c>
      <c r="J147" s="12"/>
      <c r="K147" s="14">
        <f t="shared" si="8"/>
        <v>0</v>
      </c>
      <c r="M147" s="34">
        <f t="shared" si="10"/>
        <v>0</v>
      </c>
      <c r="N147" s="43">
        <f t="shared" si="11"/>
        <v>0</v>
      </c>
    </row>
    <row r="148" spans="1:14" ht="15.75" x14ac:dyDescent="0.25">
      <c r="B148" s="20">
        <v>2600</v>
      </c>
      <c r="C148" s="21" t="s">
        <v>11</v>
      </c>
      <c r="D148" s="40">
        <v>50</v>
      </c>
      <c r="E148" s="11"/>
      <c r="F148" s="36"/>
      <c r="G148" s="36"/>
      <c r="H148" s="36"/>
      <c r="I148" s="13">
        <f t="shared" si="9"/>
        <v>0</v>
      </c>
      <c r="J148" s="12"/>
      <c r="K148" s="14">
        <f t="shared" si="8"/>
        <v>0</v>
      </c>
      <c r="M148" s="34">
        <f t="shared" si="10"/>
        <v>0</v>
      </c>
      <c r="N148" s="43">
        <f t="shared" si="11"/>
        <v>0</v>
      </c>
    </row>
    <row r="149" spans="1:14" ht="15.75" x14ac:dyDescent="0.25">
      <c r="B149" s="20">
        <v>250</v>
      </c>
      <c r="C149" s="21" t="s">
        <v>104</v>
      </c>
      <c r="D149" s="40">
        <v>41</v>
      </c>
      <c r="E149" s="11"/>
      <c r="F149" s="36"/>
      <c r="G149" s="36"/>
      <c r="H149" s="36"/>
      <c r="I149" s="13">
        <f t="shared" si="9"/>
        <v>0</v>
      </c>
      <c r="J149" s="12"/>
      <c r="K149" s="14">
        <f t="shared" si="8"/>
        <v>0</v>
      </c>
      <c r="M149" s="34">
        <f t="shared" si="10"/>
        <v>0</v>
      </c>
      <c r="N149" s="43">
        <f t="shared" si="11"/>
        <v>0</v>
      </c>
    </row>
    <row r="150" spans="1:14" ht="15.75" x14ac:dyDescent="0.25">
      <c r="B150" s="20"/>
      <c r="C150" s="21" t="s">
        <v>105</v>
      </c>
      <c r="D150" s="40">
        <v>41</v>
      </c>
      <c r="E150" s="11"/>
      <c r="F150" s="36"/>
      <c r="G150" s="36"/>
      <c r="H150" s="36"/>
      <c r="I150" s="13">
        <f t="shared" si="9"/>
        <v>0</v>
      </c>
      <c r="J150" s="12"/>
      <c r="K150" s="14">
        <f t="shared" si="8"/>
        <v>0</v>
      </c>
      <c r="M150" s="34">
        <f t="shared" si="10"/>
        <v>0</v>
      </c>
      <c r="N150" s="43">
        <f t="shared" si="11"/>
        <v>0</v>
      </c>
    </row>
    <row r="151" spans="1:14" ht="15.75" x14ac:dyDescent="0.25">
      <c r="B151" s="20"/>
      <c r="C151" s="21" t="s">
        <v>16</v>
      </c>
      <c r="D151" s="40">
        <v>41</v>
      </c>
      <c r="E151" s="11"/>
      <c r="F151" s="36"/>
      <c r="G151" s="36"/>
      <c r="H151" s="36"/>
      <c r="I151" s="13">
        <f t="shared" si="9"/>
        <v>0</v>
      </c>
      <c r="J151" s="12"/>
      <c r="K151" s="14">
        <f t="shared" si="8"/>
        <v>0</v>
      </c>
      <c r="M151" s="34">
        <f t="shared" si="10"/>
        <v>0</v>
      </c>
      <c r="N151" s="43">
        <f t="shared" si="11"/>
        <v>0</v>
      </c>
    </row>
    <row r="152" spans="1:14" ht="15.75" x14ac:dyDescent="0.25">
      <c r="B152" s="20"/>
      <c r="C152" s="21" t="s">
        <v>106</v>
      </c>
      <c r="D152" s="40">
        <v>41</v>
      </c>
      <c r="E152" s="11"/>
      <c r="F152" s="36"/>
      <c r="G152" s="36"/>
      <c r="H152" s="36"/>
      <c r="I152" s="13">
        <f t="shared" si="9"/>
        <v>0</v>
      </c>
      <c r="J152" s="12"/>
      <c r="K152" s="14">
        <f t="shared" si="8"/>
        <v>0</v>
      </c>
      <c r="M152" s="34">
        <f t="shared" si="10"/>
        <v>0</v>
      </c>
      <c r="N152" s="43">
        <f t="shared" si="11"/>
        <v>0</v>
      </c>
    </row>
    <row r="153" spans="1:14" ht="15.75" x14ac:dyDescent="0.25">
      <c r="B153" s="20"/>
      <c r="C153" s="21" t="s">
        <v>107</v>
      </c>
      <c r="D153" s="40">
        <v>41</v>
      </c>
      <c r="E153" s="11"/>
      <c r="F153" s="36"/>
      <c r="G153" s="36"/>
      <c r="H153" s="36"/>
      <c r="I153" s="13">
        <f t="shared" si="9"/>
        <v>0</v>
      </c>
      <c r="J153" s="12"/>
      <c r="K153" s="14">
        <f t="shared" si="8"/>
        <v>0</v>
      </c>
      <c r="M153" s="34">
        <f t="shared" si="10"/>
        <v>0</v>
      </c>
      <c r="N153" s="43">
        <f t="shared" si="11"/>
        <v>0</v>
      </c>
    </row>
    <row r="154" spans="1:14" ht="15.75" x14ac:dyDescent="0.25">
      <c r="B154" s="20"/>
      <c r="C154" s="21" t="s">
        <v>108</v>
      </c>
      <c r="D154" s="40">
        <v>41</v>
      </c>
      <c r="E154" s="11"/>
      <c r="F154" s="36"/>
      <c r="G154" s="36"/>
      <c r="H154" s="36"/>
      <c r="I154" s="13">
        <f t="shared" si="9"/>
        <v>0</v>
      </c>
      <c r="J154" s="12"/>
      <c r="K154" s="14">
        <f t="shared" si="8"/>
        <v>0</v>
      </c>
      <c r="M154" s="34">
        <f t="shared" si="10"/>
        <v>0</v>
      </c>
      <c r="N154" s="43">
        <f t="shared" si="11"/>
        <v>0</v>
      </c>
    </row>
    <row r="155" spans="1:14" ht="15.75" x14ac:dyDescent="0.25">
      <c r="A155">
        <v>699952</v>
      </c>
      <c r="B155" s="20"/>
      <c r="C155" s="21" t="s">
        <v>109</v>
      </c>
      <c r="D155" s="40">
        <v>52.2</v>
      </c>
      <c r="E155" s="11"/>
      <c r="F155" s="36"/>
      <c r="G155" s="36"/>
      <c r="H155" s="36"/>
      <c r="I155" s="13">
        <f t="shared" si="9"/>
        <v>0</v>
      </c>
      <c r="J155" s="12"/>
      <c r="K155" s="14">
        <f t="shared" si="8"/>
        <v>0</v>
      </c>
      <c r="M155" s="34">
        <f t="shared" si="10"/>
        <v>0</v>
      </c>
      <c r="N155" s="43">
        <f t="shared" si="11"/>
        <v>0</v>
      </c>
    </row>
    <row r="156" spans="1:14" ht="15.75" x14ac:dyDescent="0.25">
      <c r="A156">
        <v>501020</v>
      </c>
      <c r="B156" s="24">
        <v>360</v>
      </c>
      <c r="C156" s="21" t="s">
        <v>110</v>
      </c>
      <c r="D156" s="40">
        <v>23.5</v>
      </c>
      <c r="E156" s="11"/>
      <c r="F156" s="36"/>
      <c r="G156" s="36"/>
      <c r="H156" s="36"/>
      <c r="I156" s="13">
        <f t="shared" si="9"/>
        <v>0</v>
      </c>
      <c r="J156" s="12"/>
      <c r="K156" s="14">
        <f t="shared" si="8"/>
        <v>0</v>
      </c>
      <c r="M156" s="34">
        <f t="shared" si="10"/>
        <v>0</v>
      </c>
      <c r="N156" s="43">
        <f t="shared" si="11"/>
        <v>0</v>
      </c>
    </row>
    <row r="157" spans="1:14" ht="15.75" x14ac:dyDescent="0.25">
      <c r="A157">
        <v>501505</v>
      </c>
      <c r="B157" s="24">
        <v>360</v>
      </c>
      <c r="C157" s="21" t="s">
        <v>17</v>
      </c>
      <c r="D157" s="40">
        <v>47</v>
      </c>
      <c r="E157" s="11"/>
      <c r="F157" s="36"/>
      <c r="G157" s="36"/>
      <c r="H157" s="36"/>
      <c r="I157" s="13">
        <f t="shared" si="9"/>
        <v>0</v>
      </c>
      <c r="J157" s="12"/>
      <c r="K157" s="14">
        <f t="shared" si="8"/>
        <v>0</v>
      </c>
      <c r="M157" s="34">
        <f t="shared" si="10"/>
        <v>0</v>
      </c>
      <c r="N157" s="43">
        <f t="shared" si="11"/>
        <v>0</v>
      </c>
    </row>
    <row r="158" spans="1:14" ht="15.75" x14ac:dyDescent="0.25">
      <c r="B158" s="20">
        <v>250</v>
      </c>
      <c r="C158" s="21" t="s">
        <v>111</v>
      </c>
      <c r="D158" s="40">
        <v>25</v>
      </c>
      <c r="E158" s="11"/>
      <c r="F158" s="36"/>
      <c r="G158" s="36"/>
      <c r="H158" s="36"/>
      <c r="I158" s="13">
        <f t="shared" si="9"/>
        <v>0</v>
      </c>
      <c r="J158" s="12"/>
      <c r="K158" s="14">
        <f t="shared" si="8"/>
        <v>0</v>
      </c>
      <c r="M158" s="34">
        <f t="shared" si="10"/>
        <v>0</v>
      </c>
      <c r="N158" s="43">
        <f t="shared" si="11"/>
        <v>0</v>
      </c>
    </row>
    <row r="159" spans="1:14" ht="15.75" x14ac:dyDescent="0.25">
      <c r="B159" s="20">
        <v>250</v>
      </c>
      <c r="C159" s="21" t="s">
        <v>112</v>
      </c>
      <c r="D159" s="40">
        <v>25</v>
      </c>
      <c r="E159" s="11"/>
      <c r="F159" s="36"/>
      <c r="G159" s="36"/>
      <c r="H159" s="36"/>
      <c r="I159" s="13">
        <f t="shared" si="9"/>
        <v>0</v>
      </c>
      <c r="J159" s="12"/>
      <c r="K159" s="14">
        <f t="shared" si="8"/>
        <v>0</v>
      </c>
      <c r="M159" s="34">
        <f t="shared" si="10"/>
        <v>0</v>
      </c>
      <c r="N159" s="43">
        <f t="shared" si="11"/>
        <v>0</v>
      </c>
    </row>
    <row r="160" spans="1:14" ht="15.75" x14ac:dyDescent="0.25">
      <c r="A160">
        <v>501207</v>
      </c>
      <c r="B160" s="20">
        <v>360</v>
      </c>
      <c r="C160" s="21" t="s">
        <v>113</v>
      </c>
      <c r="D160" s="40">
        <v>47</v>
      </c>
      <c r="E160" s="11"/>
      <c r="F160" s="36"/>
      <c r="G160" s="36"/>
      <c r="H160" s="36"/>
      <c r="I160" s="13">
        <f t="shared" si="9"/>
        <v>0</v>
      </c>
      <c r="J160" s="12"/>
      <c r="K160" s="14">
        <f t="shared" si="8"/>
        <v>0</v>
      </c>
      <c r="M160" s="34">
        <f t="shared" si="10"/>
        <v>0</v>
      </c>
      <c r="N160" s="43">
        <f t="shared" si="11"/>
        <v>0</v>
      </c>
    </row>
    <row r="161" spans="1:14" ht="15.75" x14ac:dyDescent="0.25">
      <c r="A161">
        <v>599858</v>
      </c>
      <c r="B161" s="22"/>
      <c r="C161" s="23" t="s">
        <v>114</v>
      </c>
      <c r="D161" s="40">
        <v>44</v>
      </c>
      <c r="E161" s="11"/>
      <c r="F161" s="36"/>
      <c r="G161" s="36"/>
      <c r="H161" s="36"/>
      <c r="I161" s="13">
        <f t="shared" si="9"/>
        <v>0</v>
      </c>
      <c r="J161" s="12"/>
      <c r="K161" s="14">
        <f t="shared" si="8"/>
        <v>0</v>
      </c>
      <c r="M161" s="34">
        <f t="shared" si="10"/>
        <v>0</v>
      </c>
      <c r="N161" s="43">
        <f t="shared" si="11"/>
        <v>0</v>
      </c>
    </row>
    <row r="162" spans="1:14" ht="15.75" x14ac:dyDescent="0.25">
      <c r="A162">
        <v>599857</v>
      </c>
      <c r="B162" s="22"/>
      <c r="C162" s="23" t="s">
        <v>115</v>
      </c>
      <c r="D162" s="40">
        <v>44</v>
      </c>
      <c r="E162" s="11"/>
      <c r="F162" s="36"/>
      <c r="G162" s="36"/>
      <c r="H162" s="36"/>
      <c r="I162" s="13">
        <f t="shared" si="9"/>
        <v>0</v>
      </c>
      <c r="J162" s="12"/>
      <c r="K162" s="14">
        <f t="shared" si="8"/>
        <v>0</v>
      </c>
      <c r="M162" s="34">
        <f t="shared" si="10"/>
        <v>0</v>
      </c>
      <c r="N162" s="43">
        <f t="shared" si="11"/>
        <v>0</v>
      </c>
    </row>
    <row r="163" spans="1:14" ht="15.75" x14ac:dyDescent="0.25">
      <c r="A163">
        <v>621972</v>
      </c>
      <c r="B163" s="20"/>
      <c r="C163" s="21" t="s">
        <v>116</v>
      </c>
      <c r="D163" s="40">
        <v>14.4</v>
      </c>
      <c r="E163" s="11"/>
      <c r="F163" s="36"/>
      <c r="G163" s="36"/>
      <c r="H163" s="36"/>
      <c r="I163" s="13">
        <f t="shared" si="9"/>
        <v>0</v>
      </c>
      <c r="J163" s="12"/>
      <c r="K163" s="14">
        <f t="shared" si="8"/>
        <v>0</v>
      </c>
      <c r="M163" s="34">
        <f t="shared" si="10"/>
        <v>0</v>
      </c>
      <c r="N163" s="43">
        <f t="shared" si="11"/>
        <v>0</v>
      </c>
    </row>
    <row r="164" spans="1:14" ht="15.75" x14ac:dyDescent="0.25">
      <c r="A164">
        <v>622165</v>
      </c>
      <c r="B164" s="20"/>
      <c r="C164" s="21" t="s">
        <v>117</v>
      </c>
      <c r="D164" s="40">
        <v>73.7</v>
      </c>
      <c r="E164" s="11">
        <v>6</v>
      </c>
      <c r="F164" s="36">
        <v>1</v>
      </c>
      <c r="G164" s="36"/>
      <c r="H164" s="36"/>
      <c r="I164" s="13">
        <f t="shared" si="9"/>
        <v>7</v>
      </c>
      <c r="J164" s="12"/>
      <c r="K164" s="14">
        <f t="shared" si="8"/>
        <v>7</v>
      </c>
      <c r="L164">
        <v>7</v>
      </c>
      <c r="M164" s="34">
        <f t="shared" si="10"/>
        <v>0</v>
      </c>
      <c r="N164" s="43">
        <f t="shared" si="11"/>
        <v>515.9</v>
      </c>
    </row>
    <row r="165" spans="1:14" ht="15.75" x14ac:dyDescent="0.25">
      <c r="B165" s="20">
        <v>300</v>
      </c>
      <c r="C165" s="21" t="s">
        <v>104</v>
      </c>
      <c r="D165" s="40">
        <v>40</v>
      </c>
      <c r="E165" s="11"/>
      <c r="F165" s="36"/>
      <c r="G165" s="36"/>
      <c r="H165" s="36"/>
      <c r="I165" s="13">
        <f t="shared" si="9"/>
        <v>0</v>
      </c>
      <c r="J165" s="12"/>
      <c r="K165" s="14">
        <f t="shared" si="8"/>
        <v>0</v>
      </c>
      <c r="M165" s="34">
        <f t="shared" si="10"/>
        <v>0</v>
      </c>
      <c r="N165" s="43">
        <f t="shared" si="11"/>
        <v>0</v>
      </c>
    </row>
    <row r="166" spans="1:14" ht="15.75" x14ac:dyDescent="0.25">
      <c r="A166">
        <v>622164</v>
      </c>
      <c r="B166" s="20"/>
      <c r="C166" s="21" t="s">
        <v>118</v>
      </c>
      <c r="D166" s="40">
        <v>30</v>
      </c>
      <c r="E166" s="11"/>
      <c r="F166" s="36"/>
      <c r="G166" s="36"/>
      <c r="H166" s="36"/>
      <c r="I166" s="13">
        <f t="shared" si="9"/>
        <v>0</v>
      </c>
      <c r="J166" s="12"/>
      <c r="K166" s="14">
        <f t="shared" si="8"/>
        <v>0</v>
      </c>
      <c r="M166" s="34">
        <f t="shared" si="10"/>
        <v>0</v>
      </c>
      <c r="N166" s="43">
        <f t="shared" si="11"/>
        <v>0</v>
      </c>
    </row>
    <row r="167" spans="1:14" ht="15.75" x14ac:dyDescent="0.25">
      <c r="A167">
        <v>621967</v>
      </c>
      <c r="B167" s="20"/>
      <c r="C167" s="21" t="s">
        <v>118</v>
      </c>
      <c r="D167" s="40">
        <v>90</v>
      </c>
      <c r="E167" s="11">
        <v>10</v>
      </c>
      <c r="F167" s="36">
        <v>1</v>
      </c>
      <c r="G167" s="36"/>
      <c r="H167" s="36"/>
      <c r="I167" s="13">
        <f t="shared" si="9"/>
        <v>11</v>
      </c>
      <c r="J167" s="12"/>
      <c r="K167" s="14">
        <f t="shared" si="8"/>
        <v>11</v>
      </c>
      <c r="L167">
        <v>11</v>
      </c>
      <c r="M167" s="34">
        <f t="shared" si="10"/>
        <v>0</v>
      </c>
      <c r="N167" s="43">
        <f t="shared" si="11"/>
        <v>990</v>
      </c>
    </row>
    <row r="168" spans="1:14" ht="15.75" x14ac:dyDescent="0.25">
      <c r="A168">
        <v>500032</v>
      </c>
      <c r="B168" s="24">
        <v>360</v>
      </c>
      <c r="C168" s="21" t="s">
        <v>104</v>
      </c>
      <c r="D168" s="40">
        <v>47</v>
      </c>
      <c r="E168" s="11">
        <v>124</v>
      </c>
      <c r="F168" s="36">
        <v>8</v>
      </c>
      <c r="G168" s="36">
        <v>6</v>
      </c>
      <c r="H168" s="36">
        <v>7</v>
      </c>
      <c r="I168" s="13">
        <f t="shared" si="9"/>
        <v>145</v>
      </c>
      <c r="J168" s="12"/>
      <c r="K168" s="14">
        <f t="shared" si="8"/>
        <v>145</v>
      </c>
      <c r="L168">
        <v>145</v>
      </c>
      <c r="M168" s="34">
        <f t="shared" si="10"/>
        <v>0</v>
      </c>
      <c r="N168" s="43">
        <f t="shared" si="11"/>
        <v>6815</v>
      </c>
    </row>
    <row r="169" spans="1:14" ht="15.75" x14ac:dyDescent="0.25">
      <c r="A169">
        <v>522459</v>
      </c>
      <c r="B169" s="24">
        <v>360</v>
      </c>
      <c r="C169" s="21" t="s">
        <v>119</v>
      </c>
      <c r="D169" s="40">
        <v>30</v>
      </c>
      <c r="E169" s="11">
        <v>125</v>
      </c>
      <c r="F169" s="36"/>
      <c r="G169" s="36"/>
      <c r="H169" s="36">
        <v>4</v>
      </c>
      <c r="I169" s="13">
        <f t="shared" si="9"/>
        <v>129</v>
      </c>
      <c r="J169" s="12"/>
      <c r="K169" s="14">
        <f t="shared" si="8"/>
        <v>129</v>
      </c>
      <c r="L169">
        <v>129</v>
      </c>
      <c r="M169" s="34">
        <f t="shared" si="10"/>
        <v>0</v>
      </c>
      <c r="N169" s="43">
        <f t="shared" si="11"/>
        <v>3870</v>
      </c>
    </row>
    <row r="170" spans="1:14" ht="15.75" x14ac:dyDescent="0.25">
      <c r="A170">
        <v>522451</v>
      </c>
      <c r="B170" s="24">
        <v>360</v>
      </c>
      <c r="C170" s="21" t="s">
        <v>120</v>
      </c>
      <c r="D170" s="40">
        <v>30</v>
      </c>
      <c r="E170" s="11">
        <v>189</v>
      </c>
      <c r="F170" s="36"/>
      <c r="G170" s="36"/>
      <c r="H170" s="36">
        <v>10</v>
      </c>
      <c r="I170" s="13">
        <f t="shared" si="9"/>
        <v>199</v>
      </c>
      <c r="J170" s="12"/>
      <c r="K170" s="14">
        <f t="shared" si="8"/>
        <v>199</v>
      </c>
      <c r="L170">
        <v>199</v>
      </c>
      <c r="M170" s="34">
        <f t="shared" si="10"/>
        <v>0</v>
      </c>
      <c r="N170" s="43">
        <f t="shared" si="11"/>
        <v>5970</v>
      </c>
    </row>
    <row r="171" spans="1:14" ht="15.75" x14ac:dyDescent="0.25">
      <c r="A171">
        <v>522450</v>
      </c>
      <c r="B171" s="24">
        <v>360</v>
      </c>
      <c r="C171" s="21" t="s">
        <v>121</v>
      </c>
      <c r="D171" s="40">
        <v>30</v>
      </c>
      <c r="E171" s="11">
        <v>61</v>
      </c>
      <c r="F171" s="36"/>
      <c r="G171" s="36"/>
      <c r="H171" s="36">
        <v>1</v>
      </c>
      <c r="I171" s="13">
        <f t="shared" si="9"/>
        <v>62</v>
      </c>
      <c r="J171" s="12"/>
      <c r="K171" s="14">
        <f t="shared" si="8"/>
        <v>62</v>
      </c>
      <c r="L171">
        <v>62</v>
      </c>
      <c r="M171" s="34">
        <f t="shared" si="10"/>
        <v>0</v>
      </c>
      <c r="N171" s="43">
        <f t="shared" si="11"/>
        <v>1860</v>
      </c>
    </row>
    <row r="172" spans="1:14" ht="15.75" x14ac:dyDescent="0.25">
      <c r="A172">
        <v>522461</v>
      </c>
      <c r="B172" s="20">
        <v>360</v>
      </c>
      <c r="C172" s="21" t="s">
        <v>122</v>
      </c>
      <c r="D172" s="40">
        <v>30</v>
      </c>
      <c r="E172" s="11"/>
      <c r="F172" s="36"/>
      <c r="G172" s="36"/>
      <c r="H172" s="36"/>
      <c r="I172" s="13">
        <f t="shared" si="9"/>
        <v>0</v>
      </c>
      <c r="J172" s="12"/>
      <c r="K172" s="14">
        <f t="shared" si="8"/>
        <v>0</v>
      </c>
      <c r="M172" s="34">
        <f t="shared" si="10"/>
        <v>0</v>
      </c>
      <c r="N172" s="43">
        <f t="shared" si="11"/>
        <v>0</v>
      </c>
    </row>
    <row r="173" spans="1:14" ht="15.75" x14ac:dyDescent="0.25">
      <c r="A173">
        <v>522463</v>
      </c>
      <c r="B173" s="20">
        <v>360</v>
      </c>
      <c r="C173" s="21" t="s">
        <v>123</v>
      </c>
      <c r="D173" s="40">
        <v>30</v>
      </c>
      <c r="E173" s="11"/>
      <c r="F173" s="36"/>
      <c r="G173" s="36"/>
      <c r="H173" s="36"/>
      <c r="I173" s="13">
        <f t="shared" si="9"/>
        <v>0</v>
      </c>
      <c r="J173" s="12"/>
      <c r="K173" s="14">
        <f t="shared" si="8"/>
        <v>0</v>
      </c>
      <c r="M173" s="34">
        <f t="shared" si="10"/>
        <v>0</v>
      </c>
      <c r="N173" s="43">
        <f t="shared" si="11"/>
        <v>0</v>
      </c>
    </row>
    <row r="174" spans="1:14" ht="15.75" x14ac:dyDescent="0.25">
      <c r="A174">
        <v>522462</v>
      </c>
      <c r="B174" s="22">
        <v>360</v>
      </c>
      <c r="C174" s="23" t="s">
        <v>124</v>
      </c>
      <c r="D174" s="40">
        <v>30</v>
      </c>
      <c r="E174" s="11"/>
      <c r="F174" s="36"/>
      <c r="G174" s="36"/>
      <c r="H174" s="36"/>
      <c r="I174" s="13">
        <f t="shared" si="9"/>
        <v>0</v>
      </c>
      <c r="J174" s="12"/>
      <c r="K174" s="14">
        <f t="shared" si="8"/>
        <v>0</v>
      </c>
      <c r="M174" s="34">
        <f t="shared" si="10"/>
        <v>0</v>
      </c>
      <c r="N174" s="43">
        <f t="shared" si="11"/>
        <v>0</v>
      </c>
    </row>
    <row r="175" spans="1:14" ht="15.75" x14ac:dyDescent="0.25">
      <c r="A175">
        <v>522460</v>
      </c>
      <c r="B175" s="22">
        <v>360</v>
      </c>
      <c r="C175" s="23" t="s">
        <v>125</v>
      </c>
      <c r="D175" s="40">
        <v>30</v>
      </c>
      <c r="E175" s="11"/>
      <c r="F175" s="36"/>
      <c r="G175" s="36"/>
      <c r="H175" s="36"/>
      <c r="I175" s="13">
        <f t="shared" si="9"/>
        <v>0</v>
      </c>
      <c r="J175" s="12"/>
      <c r="K175" s="14">
        <f t="shared" si="8"/>
        <v>0</v>
      </c>
      <c r="M175" s="34">
        <f t="shared" si="10"/>
        <v>0</v>
      </c>
      <c r="N175" s="43">
        <f t="shared" si="11"/>
        <v>0</v>
      </c>
    </row>
    <row r="176" spans="1:14" ht="15.75" x14ac:dyDescent="0.25">
      <c r="A176">
        <v>522921</v>
      </c>
      <c r="B176" s="20">
        <v>600</v>
      </c>
      <c r="C176" s="21" t="s">
        <v>126</v>
      </c>
      <c r="D176" s="40">
        <v>50</v>
      </c>
      <c r="E176" s="11"/>
      <c r="F176" s="36"/>
      <c r="G176" s="36"/>
      <c r="H176" s="36"/>
      <c r="I176" s="13">
        <f t="shared" si="9"/>
        <v>0</v>
      </c>
      <c r="J176" s="12"/>
      <c r="K176" s="14">
        <f t="shared" si="8"/>
        <v>0</v>
      </c>
      <c r="M176" s="34">
        <f t="shared" si="10"/>
        <v>0</v>
      </c>
      <c r="N176" s="43">
        <f t="shared" si="11"/>
        <v>0</v>
      </c>
    </row>
    <row r="177" spans="1:14" ht="15.75" x14ac:dyDescent="0.25">
      <c r="A177">
        <v>522906</v>
      </c>
      <c r="B177" s="24">
        <v>600</v>
      </c>
      <c r="C177" s="21" t="s">
        <v>121</v>
      </c>
      <c r="D177" s="40">
        <v>50</v>
      </c>
      <c r="E177" s="11"/>
      <c r="F177" s="36"/>
      <c r="G177" s="36"/>
      <c r="H177" s="36"/>
      <c r="I177" s="13">
        <f t="shared" si="9"/>
        <v>0</v>
      </c>
      <c r="J177" s="12"/>
      <c r="K177" s="14">
        <f t="shared" si="8"/>
        <v>0</v>
      </c>
      <c r="M177" s="34">
        <f t="shared" si="10"/>
        <v>0</v>
      </c>
      <c r="N177" s="43">
        <f t="shared" si="11"/>
        <v>0</v>
      </c>
    </row>
    <row r="178" spans="1:14" ht="15.75" x14ac:dyDescent="0.25">
      <c r="A178">
        <v>522907</v>
      </c>
      <c r="B178" s="24">
        <v>600</v>
      </c>
      <c r="C178" s="21" t="s">
        <v>120</v>
      </c>
      <c r="D178" s="40">
        <v>50</v>
      </c>
      <c r="E178" s="11"/>
      <c r="F178" s="36"/>
      <c r="G178" s="36"/>
      <c r="H178" s="36"/>
      <c r="I178" s="13">
        <f t="shared" si="9"/>
        <v>0</v>
      </c>
      <c r="J178" s="12"/>
      <c r="K178" s="14">
        <f t="shared" si="8"/>
        <v>0</v>
      </c>
      <c r="M178" s="34">
        <f t="shared" si="10"/>
        <v>0</v>
      </c>
      <c r="N178" s="43">
        <f t="shared" si="11"/>
        <v>0</v>
      </c>
    </row>
    <row r="179" spans="1:14" ht="15.75" x14ac:dyDescent="0.25">
      <c r="A179">
        <v>522499</v>
      </c>
      <c r="B179" s="20">
        <v>625</v>
      </c>
      <c r="C179" s="21" t="s">
        <v>14</v>
      </c>
      <c r="D179" s="40">
        <v>50</v>
      </c>
      <c r="E179" s="11"/>
      <c r="F179" s="36"/>
      <c r="G179" s="36"/>
      <c r="H179" s="36"/>
      <c r="I179" s="13">
        <f t="shared" si="9"/>
        <v>0</v>
      </c>
      <c r="J179" s="12"/>
      <c r="K179" s="14">
        <f t="shared" si="8"/>
        <v>0</v>
      </c>
      <c r="M179" s="34">
        <f t="shared" si="10"/>
        <v>0</v>
      </c>
      <c r="N179" s="43">
        <f t="shared" si="11"/>
        <v>0</v>
      </c>
    </row>
    <row r="180" spans="1:14" ht="15.75" x14ac:dyDescent="0.25">
      <c r="A180">
        <v>522496</v>
      </c>
      <c r="B180" s="20">
        <v>625</v>
      </c>
      <c r="C180" s="21" t="s">
        <v>127</v>
      </c>
      <c r="D180" s="40">
        <v>50</v>
      </c>
      <c r="E180" s="11"/>
      <c r="F180" s="36"/>
      <c r="G180" s="36"/>
      <c r="H180" s="36"/>
      <c r="I180" s="13">
        <f t="shared" si="9"/>
        <v>0</v>
      </c>
      <c r="J180" s="12"/>
      <c r="K180" s="14">
        <f t="shared" si="8"/>
        <v>0</v>
      </c>
      <c r="M180" s="34">
        <f t="shared" si="10"/>
        <v>0</v>
      </c>
      <c r="N180" s="43">
        <f t="shared" si="11"/>
        <v>0</v>
      </c>
    </row>
    <row r="181" spans="1:14" ht="15.75" x14ac:dyDescent="0.25">
      <c r="A181">
        <v>522498</v>
      </c>
      <c r="B181" s="20">
        <v>625</v>
      </c>
      <c r="C181" s="21" t="s">
        <v>128</v>
      </c>
      <c r="D181" s="40">
        <v>50</v>
      </c>
      <c r="E181" s="11"/>
      <c r="F181" s="36"/>
      <c r="G181" s="36"/>
      <c r="H181" s="36"/>
      <c r="I181" s="13">
        <f t="shared" si="9"/>
        <v>0</v>
      </c>
      <c r="J181" s="12"/>
      <c r="K181" s="14">
        <f t="shared" si="8"/>
        <v>0</v>
      </c>
      <c r="M181" s="34">
        <f t="shared" si="10"/>
        <v>0</v>
      </c>
      <c r="N181" s="43">
        <f t="shared" si="11"/>
        <v>0</v>
      </c>
    </row>
    <row r="182" spans="1:14" ht="15.75" x14ac:dyDescent="0.25">
      <c r="A182">
        <v>522497</v>
      </c>
      <c r="B182" s="20">
        <v>625</v>
      </c>
      <c r="C182" s="21" t="s">
        <v>129</v>
      </c>
      <c r="D182" s="40">
        <v>50</v>
      </c>
      <c r="E182" s="11"/>
      <c r="F182" s="36"/>
      <c r="G182" s="36"/>
      <c r="H182" s="36"/>
      <c r="I182" s="13">
        <f t="shared" si="9"/>
        <v>0</v>
      </c>
      <c r="J182" s="12"/>
      <c r="K182" s="14">
        <f t="shared" si="8"/>
        <v>0</v>
      </c>
      <c r="M182" s="34">
        <f t="shared" si="10"/>
        <v>0</v>
      </c>
      <c r="N182" s="43">
        <f t="shared" si="11"/>
        <v>0</v>
      </c>
    </row>
    <row r="183" spans="1:14" ht="15.75" x14ac:dyDescent="0.25">
      <c r="A183">
        <v>523188</v>
      </c>
      <c r="B183" s="20"/>
      <c r="C183" s="21" t="s">
        <v>130</v>
      </c>
      <c r="D183" s="40">
        <v>9.25</v>
      </c>
      <c r="E183" s="11">
        <v>24</v>
      </c>
      <c r="F183" s="36">
        <v>20</v>
      </c>
      <c r="G183" s="36"/>
      <c r="H183" s="36"/>
      <c r="I183" s="13">
        <f t="shared" si="9"/>
        <v>44</v>
      </c>
      <c r="J183" s="12"/>
      <c r="K183" s="14">
        <f t="shared" si="8"/>
        <v>44</v>
      </c>
      <c r="L183">
        <v>44</v>
      </c>
      <c r="M183" s="34">
        <f t="shared" si="10"/>
        <v>0</v>
      </c>
      <c r="N183" s="43">
        <f t="shared" si="11"/>
        <v>407</v>
      </c>
    </row>
    <row r="184" spans="1:14" ht="16.5" thickBot="1" x14ac:dyDescent="0.3">
      <c r="B184" s="25"/>
      <c r="C184" s="26"/>
      <c r="D184" s="42"/>
      <c r="E184" s="27"/>
      <c r="F184" s="28"/>
      <c r="G184" s="29"/>
      <c r="H184" s="28"/>
      <c r="I184" s="30"/>
      <c r="J184" s="28"/>
      <c r="K184" s="31"/>
      <c r="N184" s="43">
        <f>SUM(N2:N183)</f>
        <v>92365.9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topLeftCell="A46" zoomScale="85" zoomScaleNormal="85" workbookViewId="0">
      <selection activeCell="A57" sqref="A57:XFD57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7.5703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9" style="43" bestFit="1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5" t="s">
        <v>133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>
        <v>0</v>
      </c>
      <c r="G2" s="36">
        <v>0</v>
      </c>
      <c r="H2" s="36">
        <v>0</v>
      </c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D2*I2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>
        <v>0</v>
      </c>
      <c r="G3" s="36">
        <v>0</v>
      </c>
      <c r="H3" s="36">
        <v>0</v>
      </c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D3*I3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/>
      <c r="F4" s="36">
        <v>9</v>
      </c>
      <c r="G4" s="36">
        <v>10</v>
      </c>
      <c r="H4" s="36">
        <v>12</v>
      </c>
      <c r="I4" s="13">
        <f t="shared" si="0"/>
        <v>31</v>
      </c>
      <c r="J4" s="12"/>
      <c r="K4" s="14">
        <f t="shared" si="1"/>
        <v>31</v>
      </c>
      <c r="L4">
        <v>31</v>
      </c>
      <c r="M4" s="37">
        <f t="shared" si="2"/>
        <v>0</v>
      </c>
      <c r="N4" s="43">
        <f t="shared" si="3"/>
        <v>1736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>
        <v>5</v>
      </c>
      <c r="F5" s="36">
        <v>8</v>
      </c>
      <c r="G5" s="36">
        <v>10</v>
      </c>
      <c r="H5" s="36">
        <v>10</v>
      </c>
      <c r="I5" s="13">
        <f t="shared" si="0"/>
        <v>33</v>
      </c>
      <c r="J5" s="12"/>
      <c r="K5" s="14">
        <f t="shared" si="1"/>
        <v>33</v>
      </c>
      <c r="L5">
        <v>33</v>
      </c>
      <c r="M5" s="37">
        <f t="shared" si="2"/>
        <v>0</v>
      </c>
      <c r="N5" s="43">
        <f t="shared" si="3"/>
        <v>1848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120</v>
      </c>
      <c r="F6" s="36">
        <v>20</v>
      </c>
      <c r="G6" s="36">
        <v>75</v>
      </c>
      <c r="H6" s="36">
        <v>35</v>
      </c>
      <c r="I6" s="13">
        <f t="shared" si="0"/>
        <v>250</v>
      </c>
      <c r="J6" s="12"/>
      <c r="K6" s="14">
        <f t="shared" si="1"/>
        <v>250</v>
      </c>
      <c r="L6">
        <v>250</v>
      </c>
      <c r="M6" s="37">
        <f t="shared" si="2"/>
        <v>0</v>
      </c>
      <c r="N6" s="43">
        <f t="shared" si="3"/>
        <v>15250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>
        <v>4</v>
      </c>
      <c r="F7" s="36">
        <v>0</v>
      </c>
      <c r="G7" s="36">
        <v>4</v>
      </c>
      <c r="H7" s="36">
        <v>3</v>
      </c>
      <c r="I7" s="13">
        <f t="shared" si="0"/>
        <v>11</v>
      </c>
      <c r="J7" s="12"/>
      <c r="K7" s="14">
        <f t="shared" si="1"/>
        <v>11</v>
      </c>
      <c r="L7">
        <v>11</v>
      </c>
      <c r="M7" s="34">
        <f t="shared" si="2"/>
        <v>0</v>
      </c>
      <c r="N7" s="43">
        <f t="shared" si="3"/>
        <v>671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/>
      <c r="F8" s="36">
        <v>0</v>
      </c>
      <c r="G8" s="36">
        <v>0</v>
      </c>
      <c r="H8" s="36">
        <v>0</v>
      </c>
      <c r="I8" s="13">
        <f t="shared" si="0"/>
        <v>0</v>
      </c>
      <c r="J8" s="12"/>
      <c r="K8" s="14">
        <f t="shared" si="1"/>
        <v>0</v>
      </c>
      <c r="M8" s="34">
        <f t="shared" si="2"/>
        <v>0</v>
      </c>
      <c r="N8" s="43">
        <f t="shared" si="3"/>
        <v>0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/>
      <c r="F9" s="36">
        <v>0</v>
      </c>
      <c r="G9" s="36">
        <v>0</v>
      </c>
      <c r="H9" s="36">
        <v>0</v>
      </c>
      <c r="I9" s="13">
        <f t="shared" si="0"/>
        <v>0</v>
      </c>
      <c r="J9" s="12"/>
      <c r="K9" s="14">
        <f t="shared" si="1"/>
        <v>0</v>
      </c>
      <c r="M9" s="34">
        <f t="shared" si="2"/>
        <v>0</v>
      </c>
      <c r="N9" s="43">
        <f t="shared" si="3"/>
        <v>0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>
        <v>0</v>
      </c>
      <c r="G10" s="36">
        <v>0</v>
      </c>
      <c r="H10" s="36">
        <v>0</v>
      </c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>
        <v>0</v>
      </c>
      <c r="G11" s="36">
        <v>0</v>
      </c>
      <c r="H11" s="36">
        <v>0</v>
      </c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>
        <v>0</v>
      </c>
      <c r="G12" s="36">
        <v>0</v>
      </c>
      <c r="H12" s="36">
        <v>0</v>
      </c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>
        <v>0</v>
      </c>
      <c r="G13" s="36">
        <v>0</v>
      </c>
      <c r="H13" s="36">
        <v>0</v>
      </c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>
        <v>0</v>
      </c>
      <c r="G14" s="36">
        <v>0</v>
      </c>
      <c r="H14" s="36">
        <v>0</v>
      </c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.75" x14ac:dyDescent="0.25">
      <c r="B15" s="9">
        <v>1800</v>
      </c>
      <c r="C15" s="10" t="s">
        <v>21</v>
      </c>
      <c r="D15" s="40">
        <v>38</v>
      </c>
      <c r="E15" s="11"/>
      <c r="F15" s="36">
        <v>0</v>
      </c>
      <c r="G15" s="36">
        <v>0</v>
      </c>
      <c r="H15" s="36">
        <v>0</v>
      </c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>
        <v>76</v>
      </c>
      <c r="F16" s="36">
        <v>15</v>
      </c>
      <c r="G16" s="36">
        <v>40</v>
      </c>
      <c r="H16" s="36">
        <v>35</v>
      </c>
      <c r="I16" s="13">
        <f t="shared" si="0"/>
        <v>166</v>
      </c>
      <c r="J16" s="12"/>
      <c r="K16" s="14">
        <f t="shared" si="1"/>
        <v>166</v>
      </c>
      <c r="L16">
        <v>166</v>
      </c>
      <c r="M16" s="37">
        <f t="shared" si="2"/>
        <v>0</v>
      </c>
      <c r="N16" s="43">
        <f t="shared" si="3"/>
        <v>6806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>
        <v>0</v>
      </c>
      <c r="G17" s="36">
        <v>0</v>
      </c>
      <c r="H17" s="36">
        <v>0</v>
      </c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>
        <v>0</v>
      </c>
      <c r="G18" s="36">
        <v>0</v>
      </c>
      <c r="H18" s="36">
        <v>0</v>
      </c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/>
      <c r="F19" s="36">
        <v>5</v>
      </c>
      <c r="G19" s="36">
        <v>10</v>
      </c>
      <c r="H19" s="36">
        <v>9</v>
      </c>
      <c r="I19" s="13">
        <f t="shared" si="0"/>
        <v>24</v>
      </c>
      <c r="J19" s="12"/>
      <c r="K19" s="14">
        <f t="shared" si="1"/>
        <v>24</v>
      </c>
      <c r="L19">
        <v>24</v>
      </c>
      <c r="M19" s="37">
        <f t="shared" si="2"/>
        <v>0</v>
      </c>
      <c r="N19" s="43">
        <f t="shared" si="3"/>
        <v>984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>
        <v>6</v>
      </c>
      <c r="F20" s="36">
        <v>5</v>
      </c>
      <c r="G20" s="36">
        <v>7</v>
      </c>
      <c r="H20" s="36">
        <v>10</v>
      </c>
      <c r="I20" s="13">
        <f t="shared" si="0"/>
        <v>28</v>
      </c>
      <c r="J20" s="12"/>
      <c r="K20" s="14">
        <f t="shared" si="1"/>
        <v>28</v>
      </c>
      <c r="L20">
        <v>28</v>
      </c>
      <c r="M20" s="34">
        <f t="shared" si="2"/>
        <v>0</v>
      </c>
      <c r="N20" s="43">
        <f t="shared" si="3"/>
        <v>1148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>
        <v>0</v>
      </c>
      <c r="G21" s="36">
        <v>0</v>
      </c>
      <c r="H21" s="36">
        <v>0</v>
      </c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>
        <v>0</v>
      </c>
      <c r="G22" s="36">
        <v>0</v>
      </c>
      <c r="H22" s="36">
        <v>0</v>
      </c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>
        <v>0</v>
      </c>
      <c r="G23" s="36">
        <v>0</v>
      </c>
      <c r="H23" s="36">
        <v>0</v>
      </c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66</v>
      </c>
      <c r="F24" s="36">
        <v>20</v>
      </c>
      <c r="G24" s="36">
        <v>10</v>
      </c>
      <c r="H24" s="36">
        <v>15</v>
      </c>
      <c r="I24" s="13">
        <f t="shared" si="0"/>
        <v>111</v>
      </c>
      <c r="J24" s="12"/>
      <c r="K24" s="14">
        <f t="shared" si="1"/>
        <v>111</v>
      </c>
      <c r="L24">
        <v>111</v>
      </c>
      <c r="M24" s="37">
        <f t="shared" si="2"/>
        <v>0</v>
      </c>
      <c r="N24" s="43">
        <f t="shared" si="3"/>
        <v>3885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>
        <v>0</v>
      </c>
      <c r="G25" s="36">
        <v>0</v>
      </c>
      <c r="H25" s="36">
        <v>0</v>
      </c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>
        <v>0</v>
      </c>
      <c r="G26" s="36">
        <v>0</v>
      </c>
      <c r="H26" s="36">
        <v>0</v>
      </c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/>
      <c r="F27" s="36">
        <v>0</v>
      </c>
      <c r="G27" s="36">
        <v>1</v>
      </c>
      <c r="H27" s="36">
        <v>0</v>
      </c>
      <c r="I27" s="13">
        <f t="shared" si="0"/>
        <v>1</v>
      </c>
      <c r="J27" s="12"/>
      <c r="K27" s="14">
        <f t="shared" si="1"/>
        <v>1</v>
      </c>
      <c r="L27">
        <v>1</v>
      </c>
      <c r="M27" s="37">
        <f t="shared" si="2"/>
        <v>0</v>
      </c>
      <c r="N27" s="43">
        <f t="shared" si="3"/>
        <v>44.5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>
        <v>0</v>
      </c>
      <c r="G28" s="36">
        <v>0</v>
      </c>
      <c r="H28" s="36">
        <v>0</v>
      </c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>
        <v>0</v>
      </c>
      <c r="G29" s="36">
        <v>0</v>
      </c>
      <c r="H29" s="36">
        <v>0</v>
      </c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>
        <v>0</v>
      </c>
      <c r="G30" s="36">
        <v>0</v>
      </c>
      <c r="H30" s="36">
        <v>0</v>
      </c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>
        <v>0</v>
      </c>
      <c r="G31" s="36">
        <v>0</v>
      </c>
      <c r="H31" s="36">
        <v>0</v>
      </c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>
        <v>0</v>
      </c>
      <c r="G32" s="36">
        <v>0</v>
      </c>
      <c r="H32" s="36">
        <v>0</v>
      </c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/>
      <c r="F33" s="36">
        <v>0</v>
      </c>
      <c r="G33" s="36">
        <v>0</v>
      </c>
      <c r="H33" s="36">
        <v>0</v>
      </c>
      <c r="I33" s="13">
        <f t="shared" si="0"/>
        <v>0</v>
      </c>
      <c r="J33" s="12"/>
      <c r="K33" s="14">
        <f t="shared" si="1"/>
        <v>0</v>
      </c>
      <c r="M33" s="34">
        <f t="shared" si="2"/>
        <v>0</v>
      </c>
      <c r="N33" s="43">
        <f t="shared" si="3"/>
        <v>0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>
        <v>0</v>
      </c>
      <c r="G34" s="36">
        <v>0</v>
      </c>
      <c r="H34" s="36">
        <v>0</v>
      </c>
      <c r="I34" s="13">
        <f t="shared" si="0"/>
        <v>0</v>
      </c>
      <c r="J34" s="12"/>
      <c r="K34" s="14">
        <f t="shared" si="1"/>
        <v>0</v>
      </c>
      <c r="M34" s="34">
        <f t="shared" si="2"/>
        <v>0</v>
      </c>
      <c r="N34" s="43">
        <f t="shared" si="3"/>
        <v>0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>
        <v>0</v>
      </c>
      <c r="G35" s="36">
        <v>0</v>
      </c>
      <c r="H35" s="36">
        <v>0</v>
      </c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/>
      <c r="F36" s="36">
        <v>0</v>
      </c>
      <c r="G36" s="36">
        <v>0</v>
      </c>
      <c r="H36" s="36">
        <v>0</v>
      </c>
      <c r="I36" s="13">
        <f t="shared" si="0"/>
        <v>0</v>
      </c>
      <c r="J36" s="12"/>
      <c r="K36" s="14">
        <f t="shared" si="1"/>
        <v>0</v>
      </c>
      <c r="M36" s="34">
        <f t="shared" si="2"/>
        <v>0</v>
      </c>
      <c r="N36" s="43">
        <f t="shared" si="3"/>
        <v>0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>
        <v>116</v>
      </c>
      <c r="F37" s="36">
        <v>20</v>
      </c>
      <c r="G37" s="36">
        <v>13</v>
      </c>
      <c r="H37" s="36">
        <v>15</v>
      </c>
      <c r="I37" s="13">
        <f t="shared" si="0"/>
        <v>164</v>
      </c>
      <c r="J37" s="12"/>
      <c r="K37" s="14">
        <f t="shared" si="1"/>
        <v>164</v>
      </c>
      <c r="L37">
        <v>164</v>
      </c>
      <c r="M37" s="37">
        <f t="shared" si="2"/>
        <v>0</v>
      </c>
      <c r="N37" s="43">
        <f t="shared" si="3"/>
        <v>4100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>
        <v>0</v>
      </c>
      <c r="G38" s="36">
        <v>0</v>
      </c>
      <c r="H38" s="36">
        <v>0</v>
      </c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>
        <v>0</v>
      </c>
      <c r="G39" s="36">
        <v>0</v>
      </c>
      <c r="H39" s="36">
        <v>0</v>
      </c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>
        <v>0</v>
      </c>
      <c r="G40" s="36">
        <v>0</v>
      </c>
      <c r="H40" s="36">
        <v>0</v>
      </c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>
        <v>0</v>
      </c>
      <c r="G41" s="36">
        <v>0</v>
      </c>
      <c r="H41" s="36">
        <v>0</v>
      </c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>
        <v>0</v>
      </c>
      <c r="G42" s="36">
        <v>0</v>
      </c>
      <c r="H42" s="36">
        <v>0</v>
      </c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>
        <v>10</v>
      </c>
      <c r="F43" s="36">
        <v>8</v>
      </c>
      <c r="G43" s="36">
        <v>5</v>
      </c>
      <c r="H43" s="36">
        <v>5</v>
      </c>
      <c r="I43" s="13">
        <f t="shared" si="0"/>
        <v>28</v>
      </c>
      <c r="J43" s="12"/>
      <c r="K43" s="14">
        <f t="shared" si="1"/>
        <v>28</v>
      </c>
      <c r="L43">
        <v>28</v>
      </c>
      <c r="M43" s="34">
        <f t="shared" si="2"/>
        <v>0</v>
      </c>
      <c r="N43" s="43">
        <f t="shared" si="3"/>
        <v>840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>
        <v>0</v>
      </c>
      <c r="G44" s="36">
        <v>0</v>
      </c>
      <c r="H44" s="36">
        <v>0</v>
      </c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>
        <v>0</v>
      </c>
      <c r="G45" s="36">
        <v>0</v>
      </c>
      <c r="H45" s="36">
        <v>0</v>
      </c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>
        <v>0</v>
      </c>
      <c r="G46" s="36">
        <v>0</v>
      </c>
      <c r="H46" s="36">
        <v>0</v>
      </c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>
        <v>0</v>
      </c>
      <c r="G47" s="36">
        <v>0</v>
      </c>
      <c r="H47" s="36">
        <v>0</v>
      </c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>
        <v>0</v>
      </c>
      <c r="G48" s="36">
        <v>0</v>
      </c>
      <c r="H48" s="36">
        <v>0</v>
      </c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>
        <v>0</v>
      </c>
      <c r="G49" s="36">
        <v>0</v>
      </c>
      <c r="H49" s="36">
        <v>0</v>
      </c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>
        <v>0</v>
      </c>
      <c r="G50" s="36">
        <v>0</v>
      </c>
      <c r="H50" s="36">
        <v>0</v>
      </c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117</v>
      </c>
      <c r="F51" s="36">
        <v>5</v>
      </c>
      <c r="G51" s="36">
        <v>4</v>
      </c>
      <c r="H51" s="36">
        <v>9</v>
      </c>
      <c r="I51" s="13">
        <f t="shared" si="0"/>
        <v>135</v>
      </c>
      <c r="J51" s="12"/>
      <c r="K51" s="14">
        <f t="shared" si="1"/>
        <v>135</v>
      </c>
      <c r="L51">
        <v>135</v>
      </c>
      <c r="M51" s="37">
        <f t="shared" si="2"/>
        <v>0</v>
      </c>
      <c r="N51" s="43">
        <f t="shared" si="3"/>
        <v>4050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>
        <v>0</v>
      </c>
      <c r="G52" s="36">
        <v>0</v>
      </c>
      <c r="H52" s="36">
        <v>0</v>
      </c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>
        <v>67</v>
      </c>
      <c r="F53" s="36">
        <v>40</v>
      </c>
      <c r="G53" s="36">
        <v>12</v>
      </c>
      <c r="H53" s="36">
        <v>10</v>
      </c>
      <c r="I53" s="13">
        <f t="shared" si="0"/>
        <v>129</v>
      </c>
      <c r="J53" s="12"/>
      <c r="K53" s="14">
        <f>I53-J53</f>
        <v>129</v>
      </c>
      <c r="L53">
        <v>129</v>
      </c>
      <c r="M53" s="37">
        <f t="shared" si="2"/>
        <v>0</v>
      </c>
      <c r="N53" s="43">
        <f t="shared" si="3"/>
        <v>5160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/>
      <c r="F54" s="36">
        <v>10</v>
      </c>
      <c r="G54" s="36">
        <v>6</v>
      </c>
      <c r="H54" s="36">
        <v>3</v>
      </c>
      <c r="I54" s="13">
        <f t="shared" si="0"/>
        <v>19</v>
      </c>
      <c r="J54" s="12"/>
      <c r="K54" s="14">
        <f t="shared" si="1"/>
        <v>19</v>
      </c>
      <c r="L54">
        <v>19</v>
      </c>
      <c r="M54" s="37">
        <f t="shared" si="2"/>
        <v>0</v>
      </c>
      <c r="N54" s="43">
        <f t="shared" si="3"/>
        <v>494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>
        <v>0</v>
      </c>
      <c r="G55" s="36">
        <v>0</v>
      </c>
      <c r="H55" s="36">
        <v>0</v>
      </c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>
        <v>0</v>
      </c>
      <c r="G56" s="36">
        <v>0</v>
      </c>
      <c r="H56" s="36">
        <v>0</v>
      </c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2</v>
      </c>
      <c r="F57" s="36">
        <v>2</v>
      </c>
      <c r="G57" s="36">
        <v>10</v>
      </c>
      <c r="H57" s="36">
        <v>4</v>
      </c>
      <c r="I57" s="13">
        <f t="shared" si="0"/>
        <v>18</v>
      </c>
      <c r="J57" s="12"/>
      <c r="K57" s="14">
        <f>I57-J57</f>
        <v>18</v>
      </c>
      <c r="L57">
        <v>18</v>
      </c>
      <c r="M57" s="37">
        <f t="shared" si="2"/>
        <v>0</v>
      </c>
      <c r="N57" s="43">
        <f t="shared" si="3"/>
        <v>558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>
        <v>0</v>
      </c>
      <c r="G58" s="36">
        <v>0</v>
      </c>
      <c r="H58" s="36">
        <v>0</v>
      </c>
      <c r="I58" s="13">
        <f t="shared" si="0"/>
        <v>0</v>
      </c>
      <c r="J58" s="12"/>
      <c r="K58" s="14">
        <f t="shared" ref="K58:K121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/>
      <c r="F59" s="36">
        <v>0</v>
      </c>
      <c r="G59" s="36">
        <v>0</v>
      </c>
      <c r="H59" s="36">
        <v>0</v>
      </c>
      <c r="I59" s="13">
        <f t="shared" si="0"/>
        <v>0</v>
      </c>
      <c r="J59" s="12"/>
      <c r="K59" s="14">
        <f t="shared" si="4"/>
        <v>0</v>
      </c>
      <c r="M59" s="34">
        <f t="shared" si="2"/>
        <v>0</v>
      </c>
      <c r="N59" s="43">
        <f t="shared" si="3"/>
        <v>0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>
        <v>1</v>
      </c>
      <c r="F60" s="36">
        <v>0</v>
      </c>
      <c r="G60" s="36">
        <v>0</v>
      </c>
      <c r="H60" s="36">
        <v>0</v>
      </c>
      <c r="I60" s="13">
        <f t="shared" si="0"/>
        <v>1</v>
      </c>
      <c r="J60" s="12"/>
      <c r="K60" s="14">
        <f t="shared" si="4"/>
        <v>1</v>
      </c>
      <c r="L60">
        <v>1</v>
      </c>
      <c r="M60" s="34">
        <f t="shared" si="2"/>
        <v>0</v>
      </c>
      <c r="N60" s="43">
        <f t="shared" si="3"/>
        <v>15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>
        <v>0</v>
      </c>
      <c r="G61" s="36">
        <v>0</v>
      </c>
      <c r="H61" s="36">
        <v>0</v>
      </c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>
        <v>0</v>
      </c>
      <c r="G62" s="36">
        <v>0</v>
      </c>
      <c r="H62" s="36">
        <v>0</v>
      </c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>
        <v>0</v>
      </c>
      <c r="G63" s="36">
        <v>0</v>
      </c>
      <c r="H63" s="36">
        <v>0</v>
      </c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>
        <v>0</v>
      </c>
      <c r="G64" s="36">
        <v>0</v>
      </c>
      <c r="H64" s="36">
        <v>0</v>
      </c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>
        <v>0</v>
      </c>
      <c r="G65" s="36">
        <v>0</v>
      </c>
      <c r="H65" s="36">
        <v>0</v>
      </c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>
        <v>0</v>
      </c>
      <c r="G66" s="36">
        <v>0</v>
      </c>
      <c r="H66" s="36">
        <v>0</v>
      </c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>
        <v>0</v>
      </c>
      <c r="G67" s="36">
        <v>0</v>
      </c>
      <c r="H67" s="36">
        <v>0</v>
      </c>
      <c r="I67" s="13">
        <f t="shared" ref="I67:I130" si="5">E67+F67+G67+H67</f>
        <v>0</v>
      </c>
      <c r="J67" s="12"/>
      <c r="K67" s="14">
        <f t="shared" si="4"/>
        <v>0</v>
      </c>
      <c r="M67" s="34">
        <f t="shared" ref="M67:M130" si="6">L67-I67</f>
        <v>0</v>
      </c>
      <c r="N67" s="43">
        <f t="shared" ref="N67:N130" si="7">D67*I67</f>
        <v>0</v>
      </c>
    </row>
    <row r="68" spans="1:14" ht="15.75" x14ac:dyDescent="0.25">
      <c r="A68">
        <v>598822</v>
      </c>
      <c r="B68" s="9">
        <v>250</v>
      </c>
      <c r="C68" s="10" t="s">
        <v>61</v>
      </c>
      <c r="D68" s="40">
        <v>25</v>
      </c>
      <c r="E68" s="11"/>
      <c r="F68" s="36">
        <v>0</v>
      </c>
      <c r="G68" s="36">
        <v>0</v>
      </c>
      <c r="H68" s="36">
        <v>0</v>
      </c>
      <c r="I68" s="13">
        <f t="shared" si="5"/>
        <v>0</v>
      </c>
      <c r="J68" s="12"/>
      <c r="K68" s="14">
        <f t="shared" si="4"/>
        <v>0</v>
      </c>
      <c r="M68" s="34">
        <f t="shared" si="6"/>
        <v>0</v>
      </c>
      <c r="N68" s="43">
        <f t="shared" si="7"/>
        <v>0</v>
      </c>
    </row>
    <row r="69" spans="1:14" ht="15.75" x14ac:dyDescent="0.25">
      <c r="A69">
        <v>598823</v>
      </c>
      <c r="B69" s="9">
        <v>250</v>
      </c>
      <c r="C69" s="10" t="s">
        <v>62</v>
      </c>
      <c r="D69" s="40">
        <v>25</v>
      </c>
      <c r="E69" s="11"/>
      <c r="F69" s="36">
        <v>0</v>
      </c>
      <c r="G69" s="36">
        <v>0</v>
      </c>
      <c r="H69" s="36">
        <v>0</v>
      </c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B70" s="9">
        <v>250</v>
      </c>
      <c r="C70" s="10" t="s">
        <v>54</v>
      </c>
      <c r="D70" s="40">
        <v>25</v>
      </c>
      <c r="E70" s="11"/>
      <c r="F70" s="36">
        <v>0</v>
      </c>
      <c r="G70" s="36">
        <v>0</v>
      </c>
      <c r="H70" s="36">
        <v>0</v>
      </c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55</v>
      </c>
      <c r="D71" s="40">
        <v>25</v>
      </c>
      <c r="E71" s="11"/>
      <c r="F71" s="36">
        <v>0</v>
      </c>
      <c r="G71" s="36">
        <v>0</v>
      </c>
      <c r="H71" s="36">
        <v>0</v>
      </c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56</v>
      </c>
      <c r="D72" s="40">
        <v>25</v>
      </c>
      <c r="E72" s="11"/>
      <c r="F72" s="36">
        <v>0</v>
      </c>
      <c r="G72" s="36">
        <v>0</v>
      </c>
      <c r="H72" s="36">
        <v>0</v>
      </c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1000</v>
      </c>
      <c r="C73" s="10" t="s">
        <v>52</v>
      </c>
      <c r="D73" s="40">
        <v>35</v>
      </c>
      <c r="E73" s="11"/>
      <c r="F73" s="36">
        <v>0</v>
      </c>
      <c r="G73" s="36">
        <v>0</v>
      </c>
      <c r="H73" s="36">
        <v>0</v>
      </c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53</v>
      </c>
      <c r="D74" s="40">
        <v>35</v>
      </c>
      <c r="E74" s="11"/>
      <c r="F74" s="36">
        <v>0</v>
      </c>
      <c r="G74" s="36">
        <v>0</v>
      </c>
      <c r="H74" s="36">
        <v>0</v>
      </c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54</v>
      </c>
      <c r="D75" s="40">
        <v>35</v>
      </c>
      <c r="E75" s="11"/>
      <c r="F75" s="36">
        <v>0</v>
      </c>
      <c r="G75" s="36">
        <v>0</v>
      </c>
      <c r="H75" s="36">
        <v>0</v>
      </c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55</v>
      </c>
      <c r="D76" s="40">
        <v>35</v>
      </c>
      <c r="E76" s="11"/>
      <c r="F76" s="36">
        <v>0</v>
      </c>
      <c r="G76" s="36">
        <v>0</v>
      </c>
      <c r="H76" s="36">
        <v>0</v>
      </c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56</v>
      </c>
      <c r="D77" s="40">
        <v>35</v>
      </c>
      <c r="E77" s="11"/>
      <c r="F77" s="36">
        <v>0</v>
      </c>
      <c r="G77" s="36">
        <v>0</v>
      </c>
      <c r="H77" s="36">
        <v>0</v>
      </c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A78">
        <v>599461</v>
      </c>
      <c r="B78" s="18">
        <v>145</v>
      </c>
      <c r="C78" s="10" t="s">
        <v>63</v>
      </c>
      <c r="D78" s="40">
        <v>15</v>
      </c>
      <c r="E78" s="11"/>
      <c r="F78" s="36">
        <v>0</v>
      </c>
      <c r="G78" s="36">
        <v>0</v>
      </c>
      <c r="H78" s="36">
        <v>0</v>
      </c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B79" s="9">
        <v>145</v>
      </c>
      <c r="C79" s="10" t="s">
        <v>64</v>
      </c>
      <c r="D79" s="40">
        <v>15</v>
      </c>
      <c r="E79" s="11"/>
      <c r="F79" s="36">
        <v>0</v>
      </c>
      <c r="G79" s="36">
        <v>0</v>
      </c>
      <c r="H79" s="36">
        <v>0</v>
      </c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65</v>
      </c>
      <c r="D80" s="40">
        <v>15</v>
      </c>
      <c r="E80" s="11"/>
      <c r="F80" s="36">
        <v>0</v>
      </c>
      <c r="G80" s="36">
        <v>0</v>
      </c>
      <c r="H80" s="36">
        <v>0</v>
      </c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A81">
        <v>522287</v>
      </c>
      <c r="B81" s="9">
        <v>360</v>
      </c>
      <c r="C81" s="10" t="s">
        <v>66</v>
      </c>
      <c r="D81" s="40">
        <v>20</v>
      </c>
      <c r="E81" s="11"/>
      <c r="F81" s="36">
        <v>0</v>
      </c>
      <c r="G81" s="36">
        <v>0</v>
      </c>
      <c r="H81" s="36">
        <v>0</v>
      </c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522286</v>
      </c>
      <c r="B82" s="18">
        <v>360</v>
      </c>
      <c r="C82" s="10" t="s">
        <v>67</v>
      </c>
      <c r="D82" s="40">
        <v>20</v>
      </c>
      <c r="E82" s="11"/>
      <c r="F82" s="36">
        <v>0</v>
      </c>
      <c r="G82" s="36">
        <v>0</v>
      </c>
      <c r="H82" s="36">
        <v>0</v>
      </c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522278</v>
      </c>
      <c r="B83" s="18">
        <v>360</v>
      </c>
      <c r="C83" s="10" t="s">
        <v>68</v>
      </c>
      <c r="D83" s="40">
        <v>20</v>
      </c>
      <c r="E83" s="11"/>
      <c r="F83" s="36">
        <v>0</v>
      </c>
      <c r="G83" s="36">
        <v>0</v>
      </c>
      <c r="H83" s="36">
        <v>0</v>
      </c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B84" s="9">
        <v>360</v>
      </c>
      <c r="C84" s="10" t="s">
        <v>69</v>
      </c>
      <c r="D84" s="40">
        <v>20</v>
      </c>
      <c r="E84" s="11"/>
      <c r="F84" s="36">
        <v>0</v>
      </c>
      <c r="G84" s="36">
        <v>0</v>
      </c>
      <c r="H84" s="36">
        <v>0</v>
      </c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70</v>
      </c>
      <c r="D85" s="40">
        <v>20</v>
      </c>
      <c r="E85" s="11"/>
      <c r="F85" s="36">
        <v>0</v>
      </c>
      <c r="G85" s="36">
        <v>0</v>
      </c>
      <c r="H85" s="36">
        <v>0</v>
      </c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71</v>
      </c>
      <c r="D86" s="40">
        <v>20</v>
      </c>
      <c r="E86" s="11"/>
      <c r="F86" s="36">
        <v>0</v>
      </c>
      <c r="G86" s="36">
        <v>0</v>
      </c>
      <c r="H86" s="36">
        <v>0</v>
      </c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72</v>
      </c>
      <c r="D87" s="40">
        <v>20</v>
      </c>
      <c r="E87" s="11"/>
      <c r="F87" s="36">
        <v>0</v>
      </c>
      <c r="G87" s="36">
        <v>0</v>
      </c>
      <c r="H87" s="36">
        <v>0</v>
      </c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A88">
        <v>522501</v>
      </c>
      <c r="B88" s="9">
        <v>625</v>
      </c>
      <c r="C88" s="10" t="s">
        <v>66</v>
      </c>
      <c r="D88" s="40">
        <v>50</v>
      </c>
      <c r="E88" s="11"/>
      <c r="F88" s="36">
        <v>0</v>
      </c>
      <c r="G88" s="36">
        <v>4</v>
      </c>
      <c r="H88" s="36">
        <v>13</v>
      </c>
      <c r="I88" s="13">
        <f t="shared" si="5"/>
        <v>17</v>
      </c>
      <c r="J88" s="12"/>
      <c r="K88" s="14">
        <f>I88-J88</f>
        <v>17</v>
      </c>
      <c r="L88">
        <v>17</v>
      </c>
      <c r="M88" s="37">
        <f t="shared" si="6"/>
        <v>0</v>
      </c>
      <c r="N88" s="43">
        <f t="shared" si="7"/>
        <v>850</v>
      </c>
    </row>
    <row r="89" spans="1:14" ht="15.75" x14ac:dyDescent="0.25">
      <c r="A89">
        <v>522502</v>
      </c>
      <c r="B89" s="9">
        <v>625</v>
      </c>
      <c r="C89" s="10" t="s">
        <v>68</v>
      </c>
      <c r="D89" s="40">
        <v>50</v>
      </c>
      <c r="E89" s="11">
        <v>20</v>
      </c>
      <c r="F89" s="36">
        <v>25</v>
      </c>
      <c r="G89" s="36">
        <v>36</v>
      </c>
      <c r="H89" s="36">
        <v>55</v>
      </c>
      <c r="I89" s="13">
        <f t="shared" si="5"/>
        <v>136</v>
      </c>
      <c r="J89" s="12"/>
      <c r="K89" s="14">
        <f t="shared" si="4"/>
        <v>136</v>
      </c>
      <c r="L89">
        <v>136</v>
      </c>
      <c r="M89" s="37">
        <f t="shared" si="6"/>
        <v>0</v>
      </c>
      <c r="N89" s="43">
        <f t="shared" si="7"/>
        <v>6800</v>
      </c>
    </row>
    <row r="90" spans="1:14" ht="15.75" x14ac:dyDescent="0.25">
      <c r="A90">
        <v>522500</v>
      </c>
      <c r="B90" s="9">
        <v>625</v>
      </c>
      <c r="C90" s="10" t="s">
        <v>67</v>
      </c>
      <c r="D90" s="40">
        <v>50</v>
      </c>
      <c r="E90" s="11"/>
      <c r="F90" s="36">
        <v>9</v>
      </c>
      <c r="G90" s="36">
        <v>15</v>
      </c>
      <c r="H90" s="36">
        <v>21</v>
      </c>
      <c r="I90" s="13">
        <f t="shared" si="5"/>
        <v>45</v>
      </c>
      <c r="J90" s="12"/>
      <c r="K90" s="14">
        <f t="shared" si="4"/>
        <v>45</v>
      </c>
      <c r="L90">
        <v>45</v>
      </c>
      <c r="M90" s="37">
        <f t="shared" si="6"/>
        <v>0</v>
      </c>
      <c r="N90" s="43">
        <f t="shared" si="7"/>
        <v>2250</v>
      </c>
    </row>
    <row r="91" spans="1:14" ht="15.75" x14ac:dyDescent="0.25">
      <c r="A91">
        <v>522499</v>
      </c>
      <c r="B91" s="9">
        <v>625</v>
      </c>
      <c r="C91" s="10" t="s">
        <v>73</v>
      </c>
      <c r="D91" s="40">
        <v>50</v>
      </c>
      <c r="E91" s="11"/>
      <c r="F91" s="36">
        <v>0</v>
      </c>
      <c r="G91" s="36">
        <v>0</v>
      </c>
      <c r="H91" s="36">
        <v>0</v>
      </c>
      <c r="I91" s="13">
        <f t="shared" si="5"/>
        <v>0</v>
      </c>
      <c r="J91" s="12"/>
      <c r="K91" s="14">
        <f t="shared" si="4"/>
        <v>0</v>
      </c>
      <c r="M91" s="34">
        <f t="shared" si="6"/>
        <v>0</v>
      </c>
      <c r="N91" s="43">
        <f t="shared" si="7"/>
        <v>0</v>
      </c>
    </row>
    <row r="92" spans="1:14" ht="15.75" x14ac:dyDescent="0.25">
      <c r="B92" s="9">
        <v>625</v>
      </c>
      <c r="C92" s="10" t="s">
        <v>70</v>
      </c>
      <c r="D92" s="40">
        <v>50</v>
      </c>
      <c r="E92" s="11"/>
      <c r="F92" s="36">
        <v>0</v>
      </c>
      <c r="G92" s="36">
        <v>0</v>
      </c>
      <c r="H92" s="36">
        <v>0</v>
      </c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A93">
        <v>522496</v>
      </c>
      <c r="B93" s="9">
        <v>625</v>
      </c>
      <c r="C93" s="10" t="s">
        <v>71</v>
      </c>
      <c r="D93" s="40">
        <v>50</v>
      </c>
      <c r="E93" s="11">
        <v>41</v>
      </c>
      <c r="F93" s="36">
        <v>25</v>
      </c>
      <c r="G93" s="36">
        <v>10</v>
      </c>
      <c r="H93" s="36">
        <v>30</v>
      </c>
      <c r="I93" s="13">
        <f t="shared" si="5"/>
        <v>106</v>
      </c>
      <c r="J93" s="12"/>
      <c r="K93" s="14">
        <f t="shared" si="4"/>
        <v>106</v>
      </c>
      <c r="L93">
        <v>106</v>
      </c>
      <c r="M93" s="37">
        <f t="shared" si="6"/>
        <v>0</v>
      </c>
      <c r="N93" s="43">
        <f t="shared" si="7"/>
        <v>5300</v>
      </c>
    </row>
    <row r="94" spans="1:14" ht="15.75" x14ac:dyDescent="0.25">
      <c r="A94">
        <v>522498</v>
      </c>
      <c r="B94" s="9">
        <v>625</v>
      </c>
      <c r="C94" s="10" t="s">
        <v>74</v>
      </c>
      <c r="D94" s="40">
        <v>50</v>
      </c>
      <c r="E94" s="11"/>
      <c r="F94" s="36">
        <v>0</v>
      </c>
      <c r="G94" s="36">
        <v>0</v>
      </c>
      <c r="H94" s="36">
        <v>0</v>
      </c>
      <c r="I94" s="13">
        <f t="shared" si="5"/>
        <v>0</v>
      </c>
      <c r="J94" s="12"/>
      <c r="K94" s="14">
        <f t="shared" si="4"/>
        <v>0</v>
      </c>
      <c r="M94" s="34">
        <f t="shared" si="6"/>
        <v>0</v>
      </c>
      <c r="N94" s="43">
        <f t="shared" si="7"/>
        <v>0</v>
      </c>
    </row>
    <row r="95" spans="1:14" ht="15.75" x14ac:dyDescent="0.25">
      <c r="A95">
        <v>517507</v>
      </c>
      <c r="B95" s="18">
        <v>500</v>
      </c>
      <c r="C95" s="17" t="s">
        <v>75</v>
      </c>
      <c r="D95" s="40">
        <v>35</v>
      </c>
      <c r="E95" s="11"/>
      <c r="F95" s="36">
        <v>0</v>
      </c>
      <c r="G95" s="36">
        <v>1</v>
      </c>
      <c r="H95" s="36">
        <v>0</v>
      </c>
      <c r="I95" s="13">
        <f t="shared" si="5"/>
        <v>1</v>
      </c>
      <c r="J95" s="12"/>
      <c r="K95" s="14">
        <f t="shared" si="4"/>
        <v>1</v>
      </c>
      <c r="L95">
        <v>1</v>
      </c>
      <c r="M95" s="34">
        <f t="shared" si="6"/>
        <v>0</v>
      </c>
      <c r="N95" s="43">
        <f t="shared" si="7"/>
        <v>35</v>
      </c>
    </row>
    <row r="96" spans="1:14" ht="15.75" x14ac:dyDescent="0.25">
      <c r="A96">
        <v>517499</v>
      </c>
      <c r="B96" s="18">
        <v>360</v>
      </c>
      <c r="C96" s="17" t="s">
        <v>75</v>
      </c>
      <c r="D96" s="40">
        <v>25</v>
      </c>
      <c r="E96" s="11"/>
      <c r="F96" s="36">
        <v>16</v>
      </c>
      <c r="G96" s="36">
        <v>5</v>
      </c>
      <c r="H96" s="36">
        <v>6</v>
      </c>
      <c r="I96" s="13">
        <f t="shared" si="5"/>
        <v>27</v>
      </c>
      <c r="J96" s="12"/>
      <c r="K96" s="14">
        <f t="shared" si="4"/>
        <v>27</v>
      </c>
      <c r="L96">
        <v>27</v>
      </c>
      <c r="M96" s="34">
        <f t="shared" si="6"/>
        <v>0</v>
      </c>
      <c r="N96" s="43">
        <f t="shared" si="7"/>
        <v>675</v>
      </c>
    </row>
    <row r="97" spans="1:14" ht="15.75" x14ac:dyDescent="0.25">
      <c r="B97" s="9">
        <v>625</v>
      </c>
      <c r="C97" s="10" t="s">
        <v>76</v>
      </c>
      <c r="D97" s="40">
        <v>44.5</v>
      </c>
      <c r="E97" s="11"/>
      <c r="F97" s="36">
        <v>0</v>
      </c>
      <c r="G97" s="36">
        <v>0</v>
      </c>
      <c r="H97" s="36">
        <v>0</v>
      </c>
      <c r="I97" s="13">
        <f t="shared" si="5"/>
        <v>0</v>
      </c>
      <c r="J97" s="12"/>
      <c r="K97" s="14">
        <f t="shared" si="4"/>
        <v>0</v>
      </c>
      <c r="M97" s="34">
        <f t="shared" si="6"/>
        <v>0</v>
      </c>
      <c r="N97" s="43">
        <f t="shared" si="7"/>
        <v>0</v>
      </c>
    </row>
    <row r="98" spans="1:14" ht="15.75" x14ac:dyDescent="0.25">
      <c r="B98" s="9">
        <v>3030</v>
      </c>
      <c r="C98" s="10" t="s">
        <v>76</v>
      </c>
      <c r="D98" s="40">
        <v>56</v>
      </c>
      <c r="E98" s="11"/>
      <c r="F98" s="36">
        <v>0</v>
      </c>
      <c r="G98" s="36">
        <v>0</v>
      </c>
      <c r="H98" s="36">
        <v>0</v>
      </c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355</v>
      </c>
      <c r="C99" s="10" t="s">
        <v>18</v>
      </c>
      <c r="D99" s="40">
        <v>44.5</v>
      </c>
      <c r="E99" s="11"/>
      <c r="F99" s="36">
        <v>0</v>
      </c>
      <c r="G99" s="36">
        <v>0</v>
      </c>
      <c r="H99" s="36">
        <v>0</v>
      </c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911</v>
      </c>
      <c r="C100" s="10" t="s">
        <v>77</v>
      </c>
      <c r="D100" s="40">
        <v>22.5</v>
      </c>
      <c r="E100" s="11"/>
      <c r="F100" s="36">
        <v>0</v>
      </c>
      <c r="G100" s="36">
        <v>0</v>
      </c>
      <c r="H100" s="36">
        <v>0</v>
      </c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A101">
        <v>500386</v>
      </c>
      <c r="B101" s="9">
        <v>355</v>
      </c>
      <c r="C101" s="10" t="s">
        <v>21</v>
      </c>
      <c r="D101" s="40">
        <v>15</v>
      </c>
      <c r="E101" s="11"/>
      <c r="F101" s="36">
        <v>0</v>
      </c>
      <c r="G101" s="36">
        <v>0</v>
      </c>
      <c r="H101" s="36">
        <v>0</v>
      </c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598944</v>
      </c>
      <c r="B102" s="20">
        <v>355</v>
      </c>
      <c r="C102" s="21" t="s">
        <v>14</v>
      </c>
      <c r="D102" s="40">
        <v>15</v>
      </c>
      <c r="E102" s="11"/>
      <c r="F102" s="36">
        <v>0</v>
      </c>
      <c r="G102" s="36">
        <v>0</v>
      </c>
      <c r="H102" s="36">
        <v>0</v>
      </c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B103" s="20">
        <v>355</v>
      </c>
      <c r="C103" s="21" t="s">
        <v>16</v>
      </c>
      <c r="D103" s="40">
        <v>15</v>
      </c>
      <c r="E103" s="11"/>
      <c r="F103" s="36">
        <v>0</v>
      </c>
      <c r="G103" s="36">
        <v>0</v>
      </c>
      <c r="H103" s="36">
        <v>0</v>
      </c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A104">
        <v>598947</v>
      </c>
      <c r="B104" s="20">
        <v>355</v>
      </c>
      <c r="C104" s="21" t="s">
        <v>15</v>
      </c>
      <c r="D104" s="40">
        <v>15</v>
      </c>
      <c r="E104" s="11"/>
      <c r="F104" s="36">
        <v>0</v>
      </c>
      <c r="G104" s="36">
        <v>0</v>
      </c>
      <c r="H104" s="36">
        <v>0</v>
      </c>
      <c r="I104" s="13">
        <f t="shared" si="5"/>
        <v>0</v>
      </c>
      <c r="J104" s="12"/>
      <c r="K104" s="14"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598943</v>
      </c>
      <c r="B105" s="20">
        <v>355</v>
      </c>
      <c r="C105" s="21" t="s">
        <v>17</v>
      </c>
      <c r="D105" s="40">
        <v>15</v>
      </c>
      <c r="E105" s="11"/>
      <c r="F105" s="36">
        <v>0</v>
      </c>
      <c r="G105" s="36">
        <v>0</v>
      </c>
      <c r="H105" s="36">
        <v>0</v>
      </c>
      <c r="I105" s="13">
        <f t="shared" si="5"/>
        <v>0</v>
      </c>
      <c r="J105" s="12"/>
      <c r="K105" s="14">
        <f t="shared" si="4"/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B106" s="20">
        <v>355</v>
      </c>
      <c r="C106" s="21" t="s">
        <v>78</v>
      </c>
      <c r="D106" s="40">
        <v>15</v>
      </c>
      <c r="E106" s="11"/>
      <c r="F106" s="36">
        <v>0</v>
      </c>
      <c r="G106" s="36">
        <v>0</v>
      </c>
      <c r="H106" s="36">
        <v>0</v>
      </c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79</v>
      </c>
      <c r="D107" s="40">
        <v>15</v>
      </c>
      <c r="E107" s="11"/>
      <c r="F107" s="36">
        <v>0</v>
      </c>
      <c r="G107" s="36">
        <v>0</v>
      </c>
      <c r="H107" s="36">
        <v>0</v>
      </c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80</v>
      </c>
      <c r="D108" s="40">
        <v>15</v>
      </c>
      <c r="E108" s="11"/>
      <c r="F108" s="36">
        <v>0</v>
      </c>
      <c r="G108" s="36">
        <v>0</v>
      </c>
      <c r="H108" s="36">
        <v>0</v>
      </c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145</v>
      </c>
      <c r="C109" s="21" t="s">
        <v>70</v>
      </c>
      <c r="D109" s="40">
        <v>10</v>
      </c>
      <c r="E109" s="11"/>
      <c r="F109" s="36">
        <v>0</v>
      </c>
      <c r="G109" s="36">
        <v>0</v>
      </c>
      <c r="H109" s="36">
        <v>0</v>
      </c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68</v>
      </c>
      <c r="D110" s="40">
        <v>10</v>
      </c>
      <c r="E110" s="11"/>
      <c r="F110" s="36">
        <v>0</v>
      </c>
      <c r="G110" s="36">
        <v>0</v>
      </c>
      <c r="H110" s="36">
        <v>0</v>
      </c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73</v>
      </c>
      <c r="D111" s="40">
        <v>10</v>
      </c>
      <c r="E111" s="11"/>
      <c r="F111" s="36">
        <v>0</v>
      </c>
      <c r="G111" s="36">
        <v>0</v>
      </c>
      <c r="H111" s="36">
        <v>0</v>
      </c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/>
      <c r="C112" s="21" t="s">
        <v>66</v>
      </c>
      <c r="D112" s="40">
        <v>10</v>
      </c>
      <c r="E112" s="11"/>
      <c r="F112" s="36">
        <v>0</v>
      </c>
      <c r="G112" s="36">
        <v>0</v>
      </c>
      <c r="H112" s="36">
        <v>0</v>
      </c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81</v>
      </c>
      <c r="D113" s="40">
        <v>10</v>
      </c>
      <c r="E113" s="11"/>
      <c r="F113" s="36">
        <v>0</v>
      </c>
      <c r="G113" s="36">
        <v>0</v>
      </c>
      <c r="H113" s="36">
        <v>0</v>
      </c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74</v>
      </c>
      <c r="D114" s="40">
        <v>10</v>
      </c>
      <c r="E114" s="11"/>
      <c r="F114" s="36">
        <v>0</v>
      </c>
      <c r="G114" s="36">
        <v>0</v>
      </c>
      <c r="H114" s="36">
        <v>0</v>
      </c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82</v>
      </c>
      <c r="D115" s="40">
        <v>10</v>
      </c>
      <c r="E115" s="11"/>
      <c r="F115" s="36">
        <v>0</v>
      </c>
      <c r="G115" s="36">
        <v>0</v>
      </c>
      <c r="H115" s="36">
        <v>0</v>
      </c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>
        <v>250</v>
      </c>
      <c r="C116" s="21" t="s">
        <v>12</v>
      </c>
      <c r="D116" s="40">
        <v>41</v>
      </c>
      <c r="E116" s="11"/>
      <c r="F116" s="36">
        <v>0</v>
      </c>
      <c r="G116" s="36">
        <v>0</v>
      </c>
      <c r="H116" s="36">
        <v>0</v>
      </c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83</v>
      </c>
      <c r="D117" s="40">
        <v>25</v>
      </c>
      <c r="E117" s="11"/>
      <c r="F117" s="36">
        <v>0</v>
      </c>
      <c r="G117" s="36">
        <v>0</v>
      </c>
      <c r="H117" s="36">
        <v>0</v>
      </c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1000</v>
      </c>
      <c r="C118" s="21" t="s">
        <v>83</v>
      </c>
      <c r="D118" s="40">
        <v>30</v>
      </c>
      <c r="E118" s="11"/>
      <c r="F118" s="36">
        <v>0</v>
      </c>
      <c r="G118" s="36">
        <v>0</v>
      </c>
      <c r="H118" s="36">
        <v>0</v>
      </c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250</v>
      </c>
      <c r="C119" s="21" t="s">
        <v>84</v>
      </c>
      <c r="D119" s="40">
        <v>25</v>
      </c>
      <c r="E119" s="11"/>
      <c r="F119" s="36">
        <v>0</v>
      </c>
      <c r="G119" s="36">
        <v>0</v>
      </c>
      <c r="H119" s="36">
        <v>0</v>
      </c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A120">
        <v>522665</v>
      </c>
      <c r="B120" s="22">
        <v>1.5</v>
      </c>
      <c r="C120" s="23" t="s">
        <v>85</v>
      </c>
      <c r="D120" s="40">
        <v>50</v>
      </c>
      <c r="E120" s="11">
        <v>35</v>
      </c>
      <c r="F120" s="36">
        <v>4</v>
      </c>
      <c r="G120" s="36">
        <v>5</v>
      </c>
      <c r="H120" s="36">
        <v>8</v>
      </c>
      <c r="I120" s="13">
        <f t="shared" si="5"/>
        <v>52</v>
      </c>
      <c r="J120" s="12"/>
      <c r="K120" s="14">
        <f t="shared" si="4"/>
        <v>52</v>
      </c>
      <c r="L120">
        <v>52</v>
      </c>
      <c r="M120" s="37">
        <f t="shared" si="6"/>
        <v>0</v>
      </c>
      <c r="N120" s="43">
        <f t="shared" si="7"/>
        <v>2600</v>
      </c>
    </row>
    <row r="121" spans="1:14" ht="15.75" x14ac:dyDescent="0.25">
      <c r="A121">
        <v>522664</v>
      </c>
      <c r="B121" s="20">
        <v>1.5</v>
      </c>
      <c r="C121" s="21" t="s">
        <v>86</v>
      </c>
      <c r="D121" s="40">
        <v>50</v>
      </c>
      <c r="E121" s="11">
        <v>35</v>
      </c>
      <c r="F121" s="36">
        <v>5</v>
      </c>
      <c r="G121" s="36">
        <v>4</v>
      </c>
      <c r="H121" s="36">
        <v>7</v>
      </c>
      <c r="I121" s="13">
        <f t="shared" si="5"/>
        <v>51</v>
      </c>
      <c r="J121" s="12"/>
      <c r="K121" s="14">
        <f t="shared" si="4"/>
        <v>51</v>
      </c>
      <c r="L121">
        <v>51</v>
      </c>
      <c r="M121" s="37">
        <f t="shared" si="6"/>
        <v>0</v>
      </c>
      <c r="N121" s="43">
        <f t="shared" si="7"/>
        <v>2550</v>
      </c>
    </row>
    <row r="122" spans="1:14" ht="15.75" x14ac:dyDescent="0.25">
      <c r="B122" s="24">
        <v>250</v>
      </c>
      <c r="C122" s="21" t="s">
        <v>13</v>
      </c>
      <c r="D122" s="40">
        <v>41</v>
      </c>
      <c r="E122" s="11"/>
      <c r="F122" s="36">
        <v>0</v>
      </c>
      <c r="G122" s="36">
        <v>0</v>
      </c>
      <c r="H122" s="36">
        <v>0</v>
      </c>
      <c r="I122" s="13">
        <f t="shared" si="5"/>
        <v>0</v>
      </c>
      <c r="J122" s="12"/>
      <c r="K122" s="14">
        <f t="shared" ref="K122:K183" si="8">I122-J122</f>
        <v>0</v>
      </c>
      <c r="M122" s="34">
        <f t="shared" si="6"/>
        <v>0</v>
      </c>
      <c r="N122" s="43">
        <f t="shared" si="7"/>
        <v>0</v>
      </c>
    </row>
    <row r="123" spans="1:14" ht="15.75" x14ac:dyDescent="0.25">
      <c r="B123" s="20">
        <v>360</v>
      </c>
      <c r="C123" s="21" t="s">
        <v>87</v>
      </c>
      <c r="D123" s="40">
        <v>25</v>
      </c>
      <c r="E123" s="11"/>
      <c r="F123" s="36">
        <v>0</v>
      </c>
      <c r="G123" s="36">
        <v>0</v>
      </c>
      <c r="H123" s="36">
        <v>0</v>
      </c>
      <c r="I123" s="13">
        <f t="shared" si="5"/>
        <v>0</v>
      </c>
      <c r="J123" s="12"/>
      <c r="K123" s="14">
        <f t="shared" si="8"/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1000</v>
      </c>
      <c r="C124" s="21" t="s">
        <v>75</v>
      </c>
      <c r="D124" s="40">
        <v>75</v>
      </c>
      <c r="E124" s="11"/>
      <c r="F124" s="36">
        <v>0</v>
      </c>
      <c r="G124" s="36">
        <v>0</v>
      </c>
      <c r="H124" s="36">
        <v>0</v>
      </c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355</v>
      </c>
      <c r="C125" s="21" t="s">
        <v>88</v>
      </c>
      <c r="D125" s="40">
        <v>15</v>
      </c>
      <c r="E125" s="11"/>
      <c r="F125" s="36">
        <v>0</v>
      </c>
      <c r="G125" s="36">
        <v>0</v>
      </c>
      <c r="H125" s="36">
        <v>0</v>
      </c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330</v>
      </c>
      <c r="C126" s="21" t="s">
        <v>89</v>
      </c>
      <c r="D126" s="40">
        <v>20</v>
      </c>
      <c r="E126" s="11"/>
      <c r="F126" s="36">
        <v>0</v>
      </c>
      <c r="G126" s="36">
        <v>0</v>
      </c>
      <c r="H126" s="36">
        <v>0</v>
      </c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90</v>
      </c>
      <c r="D127" s="40">
        <v>20</v>
      </c>
      <c r="E127" s="11"/>
      <c r="F127" s="36">
        <v>0</v>
      </c>
      <c r="G127" s="36">
        <v>0</v>
      </c>
      <c r="H127" s="36">
        <v>0</v>
      </c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91</v>
      </c>
      <c r="D128" s="40">
        <v>20</v>
      </c>
      <c r="E128" s="11"/>
      <c r="F128" s="36">
        <v>0</v>
      </c>
      <c r="G128" s="36">
        <v>0</v>
      </c>
      <c r="H128" s="36">
        <v>0</v>
      </c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92</v>
      </c>
      <c r="D129" s="40">
        <v>20</v>
      </c>
      <c r="E129" s="11"/>
      <c r="F129" s="36">
        <v>0</v>
      </c>
      <c r="G129" s="36">
        <v>0</v>
      </c>
      <c r="H129" s="36">
        <v>0</v>
      </c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93</v>
      </c>
      <c r="D130" s="40">
        <v>20</v>
      </c>
      <c r="E130" s="11"/>
      <c r="F130" s="36">
        <v>0</v>
      </c>
      <c r="G130" s="36">
        <v>0</v>
      </c>
      <c r="H130" s="36">
        <v>0</v>
      </c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94</v>
      </c>
      <c r="D131" s="40">
        <v>20</v>
      </c>
      <c r="E131" s="11"/>
      <c r="F131" s="36">
        <v>0</v>
      </c>
      <c r="G131" s="36">
        <v>0</v>
      </c>
      <c r="H131" s="36">
        <v>0</v>
      </c>
      <c r="I131" s="13">
        <f t="shared" ref="I131:I183" si="9">E131+F131+G131+H131</f>
        <v>0</v>
      </c>
      <c r="J131" s="12"/>
      <c r="K131" s="14">
        <f t="shared" si="8"/>
        <v>0</v>
      </c>
      <c r="M131" s="34">
        <f t="shared" ref="M131:M183" si="10">L131-I131</f>
        <v>0</v>
      </c>
      <c r="N131" s="43">
        <f t="shared" ref="N131:N183" si="11">D131*I131</f>
        <v>0</v>
      </c>
    </row>
    <row r="132" spans="1:14" ht="15.75" x14ac:dyDescent="0.25">
      <c r="B132" s="20">
        <v>330</v>
      </c>
      <c r="C132" s="21" t="s">
        <v>95</v>
      </c>
      <c r="D132" s="40">
        <v>20</v>
      </c>
      <c r="E132" s="11"/>
      <c r="F132" s="36">
        <v>0</v>
      </c>
      <c r="G132" s="36">
        <v>0</v>
      </c>
      <c r="H132" s="36">
        <v>0</v>
      </c>
      <c r="I132" s="13">
        <f t="shared" si="9"/>
        <v>0</v>
      </c>
      <c r="J132" s="12"/>
      <c r="K132" s="14">
        <f t="shared" si="8"/>
        <v>0</v>
      </c>
      <c r="M132" s="34">
        <f t="shared" si="10"/>
        <v>0</v>
      </c>
      <c r="N132" s="43">
        <f t="shared" si="11"/>
        <v>0</v>
      </c>
    </row>
    <row r="133" spans="1:14" ht="15.75" x14ac:dyDescent="0.25">
      <c r="B133" s="20">
        <v>330</v>
      </c>
      <c r="C133" s="21" t="s">
        <v>96</v>
      </c>
      <c r="D133" s="40">
        <v>20</v>
      </c>
      <c r="E133" s="11"/>
      <c r="F133" s="36">
        <v>0</v>
      </c>
      <c r="G133" s="36">
        <v>0</v>
      </c>
      <c r="H133" s="36">
        <v>0</v>
      </c>
      <c r="I133" s="13">
        <f t="shared" si="9"/>
        <v>0</v>
      </c>
      <c r="J133" s="12"/>
      <c r="K133" s="14">
        <f t="shared" si="8"/>
        <v>0</v>
      </c>
      <c r="M133" s="34">
        <f t="shared" si="10"/>
        <v>0</v>
      </c>
      <c r="N133" s="43">
        <f t="shared" si="11"/>
        <v>0</v>
      </c>
    </row>
    <row r="134" spans="1:14" ht="15.75" x14ac:dyDescent="0.25">
      <c r="B134" s="20">
        <v>330</v>
      </c>
      <c r="C134" s="21" t="s">
        <v>97</v>
      </c>
      <c r="D134" s="40">
        <v>20</v>
      </c>
      <c r="E134" s="11"/>
      <c r="F134" s="36">
        <v>0</v>
      </c>
      <c r="G134" s="36">
        <v>0</v>
      </c>
      <c r="H134" s="36">
        <v>0</v>
      </c>
      <c r="I134" s="13">
        <f t="shared" si="9"/>
        <v>0</v>
      </c>
      <c r="J134" s="12"/>
      <c r="K134" s="14">
        <f t="shared" si="8"/>
        <v>0</v>
      </c>
      <c r="M134" s="34">
        <f t="shared" si="10"/>
        <v>0</v>
      </c>
      <c r="N134" s="43">
        <f t="shared" si="11"/>
        <v>0</v>
      </c>
    </row>
    <row r="135" spans="1:14" ht="15.75" x14ac:dyDescent="0.25">
      <c r="B135" s="20"/>
      <c r="C135" s="21" t="s">
        <v>98</v>
      </c>
      <c r="D135" s="40">
        <v>20</v>
      </c>
      <c r="E135" s="11"/>
      <c r="F135" s="36">
        <v>0</v>
      </c>
      <c r="G135" s="36">
        <v>0</v>
      </c>
      <c r="H135" s="36">
        <v>0</v>
      </c>
      <c r="I135" s="13">
        <f t="shared" si="9"/>
        <v>0</v>
      </c>
      <c r="J135" s="12"/>
      <c r="K135" s="14">
        <f t="shared" si="8"/>
        <v>0</v>
      </c>
      <c r="M135" s="34">
        <f t="shared" si="10"/>
        <v>0</v>
      </c>
      <c r="N135" s="43">
        <f t="shared" si="11"/>
        <v>0</v>
      </c>
    </row>
    <row r="136" spans="1:14" ht="15.75" x14ac:dyDescent="0.25">
      <c r="B136" s="24">
        <v>473</v>
      </c>
      <c r="C136" s="21" t="s">
        <v>43</v>
      </c>
      <c r="D136" s="40">
        <v>25</v>
      </c>
      <c r="E136" s="11"/>
      <c r="F136" s="36">
        <v>0</v>
      </c>
      <c r="G136" s="36">
        <v>0</v>
      </c>
      <c r="H136" s="36">
        <v>0</v>
      </c>
      <c r="I136" s="13">
        <f t="shared" si="9"/>
        <v>0</v>
      </c>
      <c r="J136" s="12"/>
      <c r="K136" s="14">
        <f t="shared" si="8"/>
        <v>0</v>
      </c>
      <c r="M136" s="34">
        <f t="shared" si="10"/>
        <v>0</v>
      </c>
      <c r="N136" s="43">
        <f t="shared" si="11"/>
        <v>0</v>
      </c>
    </row>
    <row r="137" spans="1:14" ht="15.75" x14ac:dyDescent="0.25">
      <c r="B137" s="24">
        <v>473</v>
      </c>
      <c r="C137" s="21" t="s">
        <v>45</v>
      </c>
      <c r="D137" s="40">
        <v>25</v>
      </c>
      <c r="E137" s="11"/>
      <c r="F137" s="36">
        <v>0</v>
      </c>
      <c r="G137" s="36">
        <v>0</v>
      </c>
      <c r="H137" s="36">
        <v>0</v>
      </c>
      <c r="I137" s="13">
        <f t="shared" si="9"/>
        <v>0</v>
      </c>
      <c r="J137" s="12"/>
      <c r="K137" s="14">
        <f t="shared" si="8"/>
        <v>0</v>
      </c>
      <c r="M137" s="34">
        <f t="shared" si="10"/>
        <v>0</v>
      </c>
      <c r="N137" s="43">
        <f t="shared" si="11"/>
        <v>0</v>
      </c>
    </row>
    <row r="138" spans="1:14" ht="15.75" x14ac:dyDescent="0.25">
      <c r="A138">
        <v>599675</v>
      </c>
      <c r="B138" s="24">
        <v>473</v>
      </c>
      <c r="C138" s="21" t="s">
        <v>99</v>
      </c>
      <c r="D138" s="40">
        <v>25</v>
      </c>
      <c r="E138" s="11"/>
      <c r="F138" s="36">
        <v>0</v>
      </c>
      <c r="G138" s="36">
        <v>0</v>
      </c>
      <c r="H138" s="36">
        <v>0</v>
      </c>
      <c r="I138" s="13">
        <f t="shared" si="9"/>
        <v>0</v>
      </c>
      <c r="J138" s="12"/>
      <c r="K138" s="14">
        <f t="shared" si="8"/>
        <v>0</v>
      </c>
      <c r="M138" s="34">
        <f t="shared" si="10"/>
        <v>0</v>
      </c>
      <c r="N138" s="43">
        <f t="shared" si="11"/>
        <v>0</v>
      </c>
    </row>
    <row r="139" spans="1:14" ht="15.75" x14ac:dyDescent="0.25">
      <c r="B139" s="20">
        <v>473</v>
      </c>
      <c r="C139" s="21" t="s">
        <v>46</v>
      </c>
      <c r="D139" s="40">
        <v>25</v>
      </c>
      <c r="E139" s="11"/>
      <c r="F139" s="36">
        <v>0</v>
      </c>
      <c r="G139" s="36">
        <v>0</v>
      </c>
      <c r="H139" s="36">
        <v>0</v>
      </c>
      <c r="I139" s="13">
        <f t="shared" si="9"/>
        <v>0</v>
      </c>
      <c r="J139" s="12"/>
      <c r="K139" s="14">
        <f t="shared" si="8"/>
        <v>0</v>
      </c>
      <c r="M139" s="34">
        <f t="shared" si="10"/>
        <v>0</v>
      </c>
      <c r="N139" s="43">
        <f t="shared" si="11"/>
        <v>0</v>
      </c>
    </row>
    <row r="140" spans="1:14" ht="15.75" x14ac:dyDescent="0.25">
      <c r="A140">
        <v>522564</v>
      </c>
      <c r="B140" s="20">
        <v>473</v>
      </c>
      <c r="C140" s="21" t="s">
        <v>100</v>
      </c>
      <c r="D140" s="40">
        <v>25</v>
      </c>
      <c r="E140" s="11"/>
      <c r="F140" s="36">
        <v>0</v>
      </c>
      <c r="G140" s="36">
        <v>0</v>
      </c>
      <c r="H140" s="36">
        <v>0</v>
      </c>
      <c r="I140" s="13">
        <f t="shared" si="9"/>
        <v>0</v>
      </c>
      <c r="J140" s="12"/>
      <c r="K140" s="14">
        <f>I140-J140</f>
        <v>0</v>
      </c>
      <c r="M140" s="34">
        <f t="shared" si="10"/>
        <v>0</v>
      </c>
      <c r="N140" s="43">
        <f t="shared" si="11"/>
        <v>0</v>
      </c>
    </row>
    <row r="141" spans="1:14" ht="15.75" x14ac:dyDescent="0.25">
      <c r="B141" s="20">
        <v>625</v>
      </c>
      <c r="C141" s="21" t="s">
        <v>100</v>
      </c>
      <c r="D141" s="40">
        <v>62.5</v>
      </c>
      <c r="E141" s="11"/>
      <c r="F141" s="36">
        <v>0</v>
      </c>
      <c r="G141" s="36">
        <v>0</v>
      </c>
      <c r="H141" s="36">
        <v>0</v>
      </c>
      <c r="I141" s="13">
        <f t="shared" si="9"/>
        <v>0</v>
      </c>
      <c r="J141" s="12"/>
      <c r="K141" s="14">
        <f t="shared" si="8"/>
        <v>0</v>
      </c>
      <c r="M141" s="34">
        <f t="shared" si="10"/>
        <v>0</v>
      </c>
      <c r="N141" s="43">
        <f t="shared" si="11"/>
        <v>0</v>
      </c>
    </row>
    <row r="142" spans="1:14" ht="15.75" x14ac:dyDescent="0.25">
      <c r="A142" t="s">
        <v>101</v>
      </c>
      <c r="B142" s="20"/>
      <c r="C142" s="21" t="s">
        <v>102</v>
      </c>
      <c r="D142" s="40">
        <v>60</v>
      </c>
      <c r="E142" s="11"/>
      <c r="F142" s="36">
        <v>0</v>
      </c>
      <c r="G142" s="36">
        <v>0</v>
      </c>
      <c r="H142" s="36">
        <v>0</v>
      </c>
      <c r="I142" s="13">
        <f t="shared" si="9"/>
        <v>0</v>
      </c>
      <c r="J142" s="12"/>
      <c r="K142" s="14">
        <f t="shared" si="8"/>
        <v>0</v>
      </c>
      <c r="M142" s="34">
        <f t="shared" si="10"/>
        <v>0</v>
      </c>
      <c r="N142" s="43">
        <f t="shared" si="11"/>
        <v>0</v>
      </c>
    </row>
    <row r="143" spans="1:14" ht="15.75" x14ac:dyDescent="0.25">
      <c r="B143" s="20">
        <v>400</v>
      </c>
      <c r="C143" s="21" t="s">
        <v>103</v>
      </c>
      <c r="D143" s="40">
        <v>25</v>
      </c>
      <c r="E143" s="11"/>
      <c r="F143" s="36">
        <v>0</v>
      </c>
      <c r="G143" s="36">
        <v>0</v>
      </c>
      <c r="H143" s="36">
        <v>0</v>
      </c>
      <c r="I143" s="13">
        <f t="shared" si="9"/>
        <v>0</v>
      </c>
      <c r="J143" s="12"/>
      <c r="K143" s="14">
        <f t="shared" si="8"/>
        <v>0</v>
      </c>
      <c r="M143" s="34">
        <f t="shared" si="10"/>
        <v>0</v>
      </c>
      <c r="N143" s="43">
        <f t="shared" si="11"/>
        <v>0</v>
      </c>
    </row>
    <row r="144" spans="1:14" ht="15.75" x14ac:dyDescent="0.25">
      <c r="B144" s="20">
        <v>300</v>
      </c>
      <c r="C144" s="21" t="s">
        <v>43</v>
      </c>
      <c r="D144" s="40">
        <v>30</v>
      </c>
      <c r="E144" s="11"/>
      <c r="F144" s="36">
        <v>0</v>
      </c>
      <c r="G144" s="36">
        <v>0</v>
      </c>
      <c r="H144" s="36">
        <v>0</v>
      </c>
      <c r="I144" s="13">
        <f t="shared" si="9"/>
        <v>0</v>
      </c>
      <c r="J144" s="12"/>
      <c r="K144" s="14">
        <f t="shared" si="8"/>
        <v>0</v>
      </c>
      <c r="M144" s="34">
        <f t="shared" si="10"/>
        <v>0</v>
      </c>
      <c r="N144" s="43">
        <f t="shared" si="11"/>
        <v>0</v>
      </c>
    </row>
    <row r="145" spans="1:14" ht="15.75" x14ac:dyDescent="0.25">
      <c r="B145" s="20">
        <v>300</v>
      </c>
      <c r="C145" s="21" t="s">
        <v>45</v>
      </c>
      <c r="D145" s="40">
        <v>30</v>
      </c>
      <c r="E145" s="11"/>
      <c r="F145" s="36">
        <v>0</v>
      </c>
      <c r="G145" s="36">
        <v>0</v>
      </c>
      <c r="H145" s="36">
        <v>0</v>
      </c>
      <c r="I145" s="13">
        <f t="shared" si="9"/>
        <v>0</v>
      </c>
      <c r="J145" s="12"/>
      <c r="K145" s="14">
        <f t="shared" si="8"/>
        <v>0</v>
      </c>
      <c r="M145" s="34">
        <f t="shared" si="10"/>
        <v>0</v>
      </c>
      <c r="N145" s="43">
        <f t="shared" si="11"/>
        <v>0</v>
      </c>
    </row>
    <row r="146" spans="1:14" ht="15.75" x14ac:dyDescent="0.25">
      <c r="B146" s="20">
        <v>300</v>
      </c>
      <c r="C146" s="21" t="s">
        <v>44</v>
      </c>
      <c r="D146" s="40">
        <v>30</v>
      </c>
      <c r="E146" s="11"/>
      <c r="F146" s="36">
        <v>0</v>
      </c>
      <c r="G146" s="36">
        <v>0</v>
      </c>
      <c r="H146" s="36">
        <v>0</v>
      </c>
      <c r="I146" s="13">
        <f t="shared" si="9"/>
        <v>0</v>
      </c>
      <c r="J146" s="12"/>
      <c r="K146" s="14">
        <f t="shared" si="8"/>
        <v>0</v>
      </c>
      <c r="M146" s="34">
        <f t="shared" si="10"/>
        <v>0</v>
      </c>
      <c r="N146" s="43">
        <f t="shared" si="11"/>
        <v>0</v>
      </c>
    </row>
    <row r="147" spans="1:14" ht="15.75" x14ac:dyDescent="0.25">
      <c r="B147" s="20">
        <v>1090</v>
      </c>
      <c r="C147" s="21" t="s">
        <v>11</v>
      </c>
      <c r="D147" s="40">
        <v>25</v>
      </c>
      <c r="E147" s="11"/>
      <c r="F147" s="36">
        <v>0</v>
      </c>
      <c r="G147" s="36">
        <v>0</v>
      </c>
      <c r="H147" s="36">
        <v>0</v>
      </c>
      <c r="I147" s="13">
        <f t="shared" si="9"/>
        <v>0</v>
      </c>
      <c r="J147" s="12"/>
      <c r="K147" s="14">
        <f t="shared" si="8"/>
        <v>0</v>
      </c>
      <c r="M147" s="34">
        <f t="shared" si="10"/>
        <v>0</v>
      </c>
      <c r="N147" s="43">
        <f t="shared" si="11"/>
        <v>0</v>
      </c>
    </row>
    <row r="148" spans="1:14" ht="15.75" x14ac:dyDescent="0.25">
      <c r="B148" s="20">
        <v>2600</v>
      </c>
      <c r="C148" s="21" t="s">
        <v>11</v>
      </c>
      <c r="D148" s="40">
        <v>50</v>
      </c>
      <c r="E148" s="11"/>
      <c r="F148" s="36">
        <v>0</v>
      </c>
      <c r="G148" s="36">
        <v>0</v>
      </c>
      <c r="H148" s="36">
        <v>0</v>
      </c>
      <c r="I148" s="13">
        <f t="shared" si="9"/>
        <v>0</v>
      </c>
      <c r="J148" s="12"/>
      <c r="K148" s="14">
        <f t="shared" si="8"/>
        <v>0</v>
      </c>
      <c r="M148" s="34">
        <f t="shared" si="10"/>
        <v>0</v>
      </c>
      <c r="N148" s="43">
        <f t="shared" si="11"/>
        <v>0</v>
      </c>
    </row>
    <row r="149" spans="1:14" ht="15.75" x14ac:dyDescent="0.25">
      <c r="B149" s="20">
        <v>250</v>
      </c>
      <c r="C149" s="21" t="s">
        <v>104</v>
      </c>
      <c r="D149" s="40">
        <v>41</v>
      </c>
      <c r="E149" s="11"/>
      <c r="F149" s="36">
        <v>0</v>
      </c>
      <c r="G149" s="36">
        <v>0</v>
      </c>
      <c r="H149" s="36">
        <v>0</v>
      </c>
      <c r="I149" s="13">
        <f t="shared" si="9"/>
        <v>0</v>
      </c>
      <c r="J149" s="12"/>
      <c r="K149" s="14">
        <f t="shared" si="8"/>
        <v>0</v>
      </c>
      <c r="M149" s="34">
        <f t="shared" si="10"/>
        <v>0</v>
      </c>
      <c r="N149" s="43">
        <f t="shared" si="11"/>
        <v>0</v>
      </c>
    </row>
    <row r="150" spans="1:14" ht="15.75" x14ac:dyDescent="0.25">
      <c r="B150" s="20"/>
      <c r="C150" s="21" t="s">
        <v>105</v>
      </c>
      <c r="D150" s="40">
        <v>41</v>
      </c>
      <c r="E150" s="11"/>
      <c r="F150" s="36">
        <v>0</v>
      </c>
      <c r="G150" s="36">
        <v>0</v>
      </c>
      <c r="H150" s="36">
        <v>0</v>
      </c>
      <c r="I150" s="13">
        <f t="shared" si="9"/>
        <v>0</v>
      </c>
      <c r="J150" s="12"/>
      <c r="K150" s="14">
        <f t="shared" si="8"/>
        <v>0</v>
      </c>
      <c r="M150" s="34">
        <f t="shared" si="10"/>
        <v>0</v>
      </c>
      <c r="N150" s="43">
        <f t="shared" si="11"/>
        <v>0</v>
      </c>
    </row>
    <row r="151" spans="1:14" ht="15.75" x14ac:dyDescent="0.25">
      <c r="B151" s="20"/>
      <c r="C151" s="21" t="s">
        <v>16</v>
      </c>
      <c r="D151" s="40">
        <v>41</v>
      </c>
      <c r="E151" s="11"/>
      <c r="F151" s="36">
        <v>0</v>
      </c>
      <c r="G151" s="36">
        <v>0</v>
      </c>
      <c r="H151" s="36">
        <v>0</v>
      </c>
      <c r="I151" s="13">
        <f t="shared" si="9"/>
        <v>0</v>
      </c>
      <c r="J151" s="12"/>
      <c r="K151" s="14">
        <f t="shared" si="8"/>
        <v>0</v>
      </c>
      <c r="M151" s="34">
        <f t="shared" si="10"/>
        <v>0</v>
      </c>
      <c r="N151" s="43">
        <f t="shared" si="11"/>
        <v>0</v>
      </c>
    </row>
    <row r="152" spans="1:14" ht="15.75" x14ac:dyDescent="0.25">
      <c r="B152" s="20"/>
      <c r="C152" s="21" t="s">
        <v>106</v>
      </c>
      <c r="D152" s="40">
        <v>41</v>
      </c>
      <c r="E152" s="11"/>
      <c r="F152" s="36">
        <v>0</v>
      </c>
      <c r="G152" s="36">
        <v>0</v>
      </c>
      <c r="H152" s="36">
        <v>0</v>
      </c>
      <c r="I152" s="13">
        <f t="shared" si="9"/>
        <v>0</v>
      </c>
      <c r="J152" s="12"/>
      <c r="K152" s="14">
        <f t="shared" si="8"/>
        <v>0</v>
      </c>
      <c r="M152" s="34">
        <f t="shared" si="10"/>
        <v>0</v>
      </c>
      <c r="N152" s="43">
        <f t="shared" si="11"/>
        <v>0</v>
      </c>
    </row>
    <row r="153" spans="1:14" ht="15.75" x14ac:dyDescent="0.25">
      <c r="B153" s="20"/>
      <c r="C153" s="21" t="s">
        <v>107</v>
      </c>
      <c r="D153" s="40">
        <v>41</v>
      </c>
      <c r="E153" s="11"/>
      <c r="F153" s="36">
        <v>0</v>
      </c>
      <c r="G153" s="36">
        <v>0</v>
      </c>
      <c r="H153" s="36">
        <v>0</v>
      </c>
      <c r="I153" s="13">
        <f t="shared" si="9"/>
        <v>0</v>
      </c>
      <c r="J153" s="12"/>
      <c r="K153" s="14">
        <f t="shared" si="8"/>
        <v>0</v>
      </c>
      <c r="M153" s="34">
        <f t="shared" si="10"/>
        <v>0</v>
      </c>
      <c r="N153" s="43">
        <f t="shared" si="11"/>
        <v>0</v>
      </c>
    </row>
    <row r="154" spans="1:14" ht="15.75" x14ac:dyDescent="0.25">
      <c r="B154" s="20"/>
      <c r="C154" s="21" t="s">
        <v>108</v>
      </c>
      <c r="D154" s="40">
        <v>41</v>
      </c>
      <c r="E154" s="11"/>
      <c r="F154" s="36">
        <v>0</v>
      </c>
      <c r="G154" s="36">
        <v>0</v>
      </c>
      <c r="H154" s="36">
        <v>0</v>
      </c>
      <c r="I154" s="13">
        <f t="shared" si="9"/>
        <v>0</v>
      </c>
      <c r="J154" s="12"/>
      <c r="K154" s="14">
        <f t="shared" si="8"/>
        <v>0</v>
      </c>
      <c r="M154" s="34">
        <f t="shared" si="10"/>
        <v>0</v>
      </c>
      <c r="N154" s="43">
        <f t="shared" si="11"/>
        <v>0</v>
      </c>
    </row>
    <row r="155" spans="1:14" ht="15.75" x14ac:dyDescent="0.25">
      <c r="A155">
        <v>699952</v>
      </c>
      <c r="B155" s="20"/>
      <c r="C155" s="21" t="s">
        <v>109</v>
      </c>
      <c r="D155" s="40">
        <v>52.2</v>
      </c>
      <c r="E155" s="11"/>
      <c r="F155" s="36">
        <v>0</v>
      </c>
      <c r="G155" s="36">
        <v>0</v>
      </c>
      <c r="H155" s="36">
        <v>0</v>
      </c>
      <c r="I155" s="13">
        <f t="shared" si="9"/>
        <v>0</v>
      </c>
      <c r="J155" s="12"/>
      <c r="K155" s="14">
        <f t="shared" si="8"/>
        <v>0</v>
      </c>
      <c r="M155" s="34">
        <f t="shared" si="10"/>
        <v>0</v>
      </c>
      <c r="N155" s="43">
        <f t="shared" si="11"/>
        <v>0</v>
      </c>
    </row>
    <row r="156" spans="1:14" ht="15.75" x14ac:dyDescent="0.25">
      <c r="A156">
        <v>501020</v>
      </c>
      <c r="B156" s="24">
        <v>360</v>
      </c>
      <c r="C156" s="21" t="s">
        <v>110</v>
      </c>
      <c r="D156" s="40">
        <v>23.5</v>
      </c>
      <c r="E156" s="11"/>
      <c r="F156" s="36">
        <v>0</v>
      </c>
      <c r="G156" s="36">
        <v>0</v>
      </c>
      <c r="H156" s="36">
        <v>0</v>
      </c>
      <c r="I156" s="13">
        <f t="shared" si="9"/>
        <v>0</v>
      </c>
      <c r="J156" s="12"/>
      <c r="K156" s="14">
        <f t="shared" si="8"/>
        <v>0</v>
      </c>
      <c r="M156" s="34">
        <f t="shared" si="10"/>
        <v>0</v>
      </c>
      <c r="N156" s="43">
        <f t="shared" si="11"/>
        <v>0</v>
      </c>
    </row>
    <row r="157" spans="1:14" ht="15.75" x14ac:dyDescent="0.25">
      <c r="A157">
        <v>501505</v>
      </c>
      <c r="B157" s="24">
        <v>360</v>
      </c>
      <c r="C157" s="21" t="s">
        <v>17</v>
      </c>
      <c r="D157" s="40">
        <v>47</v>
      </c>
      <c r="E157" s="11"/>
      <c r="F157" s="36">
        <v>0</v>
      </c>
      <c r="G157" s="36">
        <v>0</v>
      </c>
      <c r="H157" s="36">
        <v>0</v>
      </c>
      <c r="I157" s="13">
        <f t="shared" si="9"/>
        <v>0</v>
      </c>
      <c r="J157" s="12"/>
      <c r="K157" s="14">
        <f t="shared" si="8"/>
        <v>0</v>
      </c>
      <c r="M157" s="34">
        <f t="shared" si="10"/>
        <v>0</v>
      </c>
      <c r="N157" s="43">
        <f t="shared" si="11"/>
        <v>0</v>
      </c>
    </row>
    <row r="158" spans="1:14" ht="15.75" x14ac:dyDescent="0.25">
      <c r="B158" s="20">
        <v>250</v>
      </c>
      <c r="C158" s="21" t="s">
        <v>111</v>
      </c>
      <c r="D158" s="40">
        <v>25</v>
      </c>
      <c r="E158" s="11"/>
      <c r="F158" s="36">
        <v>0</v>
      </c>
      <c r="G158" s="36">
        <v>0</v>
      </c>
      <c r="H158" s="36">
        <v>0</v>
      </c>
      <c r="I158" s="13">
        <f t="shared" si="9"/>
        <v>0</v>
      </c>
      <c r="J158" s="12"/>
      <c r="K158" s="14">
        <f t="shared" si="8"/>
        <v>0</v>
      </c>
      <c r="M158" s="34">
        <f t="shared" si="10"/>
        <v>0</v>
      </c>
      <c r="N158" s="43">
        <f t="shared" si="11"/>
        <v>0</v>
      </c>
    </row>
    <row r="159" spans="1:14" ht="15.75" x14ac:dyDescent="0.25">
      <c r="B159" s="20">
        <v>250</v>
      </c>
      <c r="C159" s="21" t="s">
        <v>112</v>
      </c>
      <c r="D159" s="40">
        <v>25</v>
      </c>
      <c r="E159" s="11"/>
      <c r="F159" s="36">
        <v>0</v>
      </c>
      <c r="G159" s="36">
        <v>0</v>
      </c>
      <c r="H159" s="36">
        <v>0</v>
      </c>
      <c r="I159" s="13">
        <f t="shared" si="9"/>
        <v>0</v>
      </c>
      <c r="J159" s="12"/>
      <c r="K159" s="14">
        <f t="shared" si="8"/>
        <v>0</v>
      </c>
      <c r="M159" s="34">
        <f t="shared" si="10"/>
        <v>0</v>
      </c>
      <c r="N159" s="43">
        <f t="shared" si="11"/>
        <v>0</v>
      </c>
    </row>
    <row r="160" spans="1:14" ht="15.75" x14ac:dyDescent="0.25">
      <c r="A160">
        <v>501207</v>
      </c>
      <c r="B160" s="20">
        <v>360</v>
      </c>
      <c r="C160" s="21" t="s">
        <v>113</v>
      </c>
      <c r="D160" s="40">
        <v>47</v>
      </c>
      <c r="E160" s="11"/>
      <c r="F160" s="36">
        <v>0</v>
      </c>
      <c r="G160" s="36">
        <v>0</v>
      </c>
      <c r="H160" s="36">
        <v>0</v>
      </c>
      <c r="I160" s="13">
        <f t="shared" si="9"/>
        <v>0</v>
      </c>
      <c r="J160" s="12"/>
      <c r="K160" s="14">
        <f t="shared" si="8"/>
        <v>0</v>
      </c>
      <c r="M160" s="34">
        <f t="shared" si="10"/>
        <v>0</v>
      </c>
      <c r="N160" s="43">
        <f t="shared" si="11"/>
        <v>0</v>
      </c>
    </row>
    <row r="161" spans="1:14" ht="15.75" x14ac:dyDescent="0.25">
      <c r="A161">
        <v>599858</v>
      </c>
      <c r="B161" s="22"/>
      <c r="C161" s="23" t="s">
        <v>114</v>
      </c>
      <c r="D161" s="40">
        <v>44</v>
      </c>
      <c r="E161" s="11"/>
      <c r="F161" s="36">
        <v>0</v>
      </c>
      <c r="G161" s="36">
        <v>0</v>
      </c>
      <c r="H161" s="36">
        <v>0</v>
      </c>
      <c r="I161" s="13">
        <f t="shared" si="9"/>
        <v>0</v>
      </c>
      <c r="J161" s="12"/>
      <c r="K161" s="14">
        <f t="shared" si="8"/>
        <v>0</v>
      </c>
      <c r="M161" s="34">
        <f t="shared" si="10"/>
        <v>0</v>
      </c>
      <c r="N161" s="43">
        <f t="shared" si="11"/>
        <v>0</v>
      </c>
    </row>
    <row r="162" spans="1:14" ht="15.75" x14ac:dyDescent="0.25">
      <c r="A162">
        <v>599857</v>
      </c>
      <c r="B162" s="22"/>
      <c r="C162" s="23" t="s">
        <v>115</v>
      </c>
      <c r="D162" s="40">
        <v>44</v>
      </c>
      <c r="E162" s="11"/>
      <c r="F162" s="36">
        <v>0</v>
      </c>
      <c r="G162" s="36">
        <v>0</v>
      </c>
      <c r="H162" s="36">
        <v>0</v>
      </c>
      <c r="I162" s="13">
        <f t="shared" si="9"/>
        <v>0</v>
      </c>
      <c r="J162" s="12"/>
      <c r="K162" s="14">
        <f t="shared" si="8"/>
        <v>0</v>
      </c>
      <c r="M162" s="34">
        <f t="shared" si="10"/>
        <v>0</v>
      </c>
      <c r="N162" s="43">
        <f t="shared" si="11"/>
        <v>0</v>
      </c>
    </row>
    <row r="163" spans="1:14" ht="15.75" x14ac:dyDescent="0.25">
      <c r="A163">
        <v>621972</v>
      </c>
      <c r="B163" s="20"/>
      <c r="C163" s="21" t="s">
        <v>116</v>
      </c>
      <c r="D163" s="40">
        <v>14.4</v>
      </c>
      <c r="E163" s="11"/>
      <c r="F163" s="36">
        <v>0</v>
      </c>
      <c r="G163" s="36">
        <v>0</v>
      </c>
      <c r="H163" s="36">
        <v>0</v>
      </c>
      <c r="I163" s="13">
        <f t="shared" si="9"/>
        <v>0</v>
      </c>
      <c r="J163" s="12"/>
      <c r="K163" s="14">
        <f t="shared" si="8"/>
        <v>0</v>
      </c>
      <c r="M163" s="34">
        <f t="shared" si="10"/>
        <v>0</v>
      </c>
      <c r="N163" s="43">
        <f t="shared" si="11"/>
        <v>0</v>
      </c>
    </row>
    <row r="164" spans="1:14" ht="15.75" x14ac:dyDescent="0.25">
      <c r="A164">
        <v>622165</v>
      </c>
      <c r="B164" s="20"/>
      <c r="C164" s="21" t="s">
        <v>117</v>
      </c>
      <c r="D164" s="40">
        <v>73.7</v>
      </c>
      <c r="E164" s="11">
        <v>3</v>
      </c>
      <c r="F164" s="36">
        <v>1</v>
      </c>
      <c r="G164" s="36">
        <v>0</v>
      </c>
      <c r="H164" s="36">
        <v>2</v>
      </c>
      <c r="I164" s="13">
        <f t="shared" si="9"/>
        <v>6</v>
      </c>
      <c r="J164" s="12"/>
      <c r="K164" s="14">
        <f t="shared" si="8"/>
        <v>6</v>
      </c>
      <c r="L164">
        <v>6</v>
      </c>
      <c r="M164" s="34">
        <f t="shared" si="10"/>
        <v>0</v>
      </c>
      <c r="N164" s="43">
        <f t="shared" si="11"/>
        <v>442.20000000000005</v>
      </c>
    </row>
    <row r="165" spans="1:14" ht="15.75" x14ac:dyDescent="0.25">
      <c r="B165" s="20">
        <v>300</v>
      </c>
      <c r="C165" s="21" t="s">
        <v>104</v>
      </c>
      <c r="D165" s="40">
        <v>40</v>
      </c>
      <c r="E165" s="11"/>
      <c r="F165" s="36">
        <v>0</v>
      </c>
      <c r="G165" s="36">
        <v>0</v>
      </c>
      <c r="H165" s="36">
        <v>0</v>
      </c>
      <c r="I165" s="13">
        <f t="shared" si="9"/>
        <v>0</v>
      </c>
      <c r="J165" s="12"/>
      <c r="K165" s="14">
        <f t="shared" si="8"/>
        <v>0</v>
      </c>
      <c r="M165" s="34">
        <f t="shared" si="10"/>
        <v>0</v>
      </c>
      <c r="N165" s="43">
        <f t="shared" si="11"/>
        <v>0</v>
      </c>
    </row>
    <row r="166" spans="1:14" ht="15.75" x14ac:dyDescent="0.25">
      <c r="A166">
        <v>622164</v>
      </c>
      <c r="B166" s="20"/>
      <c r="C166" s="21" t="s">
        <v>118</v>
      </c>
      <c r="D166" s="40">
        <v>30</v>
      </c>
      <c r="E166" s="11"/>
      <c r="F166" s="36">
        <v>0</v>
      </c>
      <c r="G166" s="36">
        <v>0</v>
      </c>
      <c r="H166" s="36">
        <v>0</v>
      </c>
      <c r="I166" s="13">
        <f t="shared" si="9"/>
        <v>0</v>
      </c>
      <c r="J166" s="12"/>
      <c r="K166" s="14">
        <f t="shared" si="8"/>
        <v>0</v>
      </c>
      <c r="M166" s="34">
        <f t="shared" si="10"/>
        <v>0</v>
      </c>
      <c r="N166" s="43">
        <f t="shared" si="11"/>
        <v>0</v>
      </c>
    </row>
    <row r="167" spans="1:14" ht="15.75" x14ac:dyDescent="0.25">
      <c r="A167">
        <v>621967</v>
      </c>
      <c r="B167" s="20"/>
      <c r="C167" s="21" t="s">
        <v>118</v>
      </c>
      <c r="D167" s="40">
        <v>90</v>
      </c>
      <c r="E167" s="11">
        <v>7</v>
      </c>
      <c r="F167" s="36">
        <v>1</v>
      </c>
      <c r="G167" s="36">
        <v>0</v>
      </c>
      <c r="H167" s="36">
        <v>1</v>
      </c>
      <c r="I167" s="13">
        <f t="shared" si="9"/>
        <v>9</v>
      </c>
      <c r="J167" s="12"/>
      <c r="K167" s="14">
        <f t="shared" si="8"/>
        <v>9</v>
      </c>
      <c r="L167">
        <v>9</v>
      </c>
      <c r="M167" s="34">
        <f t="shared" si="10"/>
        <v>0</v>
      </c>
      <c r="N167" s="43">
        <f t="shared" si="11"/>
        <v>810</v>
      </c>
    </row>
    <row r="168" spans="1:14" ht="15.75" x14ac:dyDescent="0.25">
      <c r="A168">
        <v>500032</v>
      </c>
      <c r="B168" s="24">
        <v>360</v>
      </c>
      <c r="C168" s="21" t="s">
        <v>104</v>
      </c>
      <c r="D168" s="40">
        <v>47</v>
      </c>
      <c r="E168" s="11">
        <v>37</v>
      </c>
      <c r="F168" s="36">
        <v>15</v>
      </c>
      <c r="G168" s="36">
        <v>10</v>
      </c>
      <c r="H168" s="36">
        <v>30</v>
      </c>
      <c r="I168" s="13">
        <f t="shared" si="9"/>
        <v>92</v>
      </c>
      <c r="J168" s="12"/>
      <c r="K168" s="14">
        <f t="shared" si="8"/>
        <v>92</v>
      </c>
      <c r="L168">
        <v>92</v>
      </c>
      <c r="M168" s="37">
        <f t="shared" si="10"/>
        <v>0</v>
      </c>
      <c r="N168" s="43">
        <f t="shared" si="11"/>
        <v>4324</v>
      </c>
    </row>
    <row r="169" spans="1:14" ht="15.75" x14ac:dyDescent="0.25">
      <c r="A169">
        <v>522459</v>
      </c>
      <c r="B169" s="24">
        <v>360</v>
      </c>
      <c r="C169" s="21" t="s">
        <v>119</v>
      </c>
      <c r="D169" s="40">
        <v>30</v>
      </c>
      <c r="E169" s="11">
        <v>48</v>
      </c>
      <c r="F169" s="36">
        <v>44</v>
      </c>
      <c r="G169" s="36">
        <v>26</v>
      </c>
      <c r="H169" s="36">
        <v>35</v>
      </c>
      <c r="I169" s="13">
        <f t="shared" si="9"/>
        <v>153</v>
      </c>
      <c r="J169" s="12"/>
      <c r="K169" s="14">
        <f t="shared" si="8"/>
        <v>153</v>
      </c>
      <c r="L169">
        <v>153</v>
      </c>
      <c r="M169" s="37">
        <f t="shared" si="10"/>
        <v>0</v>
      </c>
      <c r="N169" s="43">
        <f t="shared" si="11"/>
        <v>4590</v>
      </c>
    </row>
    <row r="170" spans="1:14" ht="15.75" x14ac:dyDescent="0.25">
      <c r="A170">
        <v>522451</v>
      </c>
      <c r="B170" s="24">
        <v>360</v>
      </c>
      <c r="C170" s="21" t="s">
        <v>120</v>
      </c>
      <c r="D170" s="40">
        <v>30</v>
      </c>
      <c r="E170" s="11"/>
      <c r="F170" s="36">
        <v>2</v>
      </c>
      <c r="G170" s="36">
        <v>8</v>
      </c>
      <c r="H170" s="36">
        <v>0</v>
      </c>
      <c r="I170" s="13">
        <f t="shared" si="9"/>
        <v>10</v>
      </c>
      <c r="J170" s="12"/>
      <c r="K170" s="14">
        <f t="shared" si="8"/>
        <v>10</v>
      </c>
      <c r="L170">
        <v>10</v>
      </c>
      <c r="M170" s="37">
        <f t="shared" si="10"/>
        <v>0</v>
      </c>
      <c r="N170" s="43">
        <f t="shared" si="11"/>
        <v>300</v>
      </c>
    </row>
    <row r="171" spans="1:14" ht="15.75" x14ac:dyDescent="0.25">
      <c r="A171">
        <v>522450</v>
      </c>
      <c r="B171" s="24">
        <v>360</v>
      </c>
      <c r="C171" s="21" t="s">
        <v>121</v>
      </c>
      <c r="D171" s="40">
        <v>30</v>
      </c>
      <c r="E171" s="11"/>
      <c r="F171" s="36">
        <v>17</v>
      </c>
      <c r="G171" s="36">
        <v>26</v>
      </c>
      <c r="H171" s="36">
        <v>20</v>
      </c>
      <c r="I171" s="13">
        <f t="shared" si="9"/>
        <v>63</v>
      </c>
      <c r="J171" s="12"/>
      <c r="K171" s="14">
        <f t="shared" si="8"/>
        <v>63</v>
      </c>
      <c r="L171">
        <v>63</v>
      </c>
      <c r="M171" s="37">
        <f t="shared" si="10"/>
        <v>0</v>
      </c>
      <c r="N171" s="43">
        <f t="shared" si="11"/>
        <v>1890</v>
      </c>
    </row>
    <row r="172" spans="1:14" ht="15.75" x14ac:dyDescent="0.25">
      <c r="A172">
        <v>522461</v>
      </c>
      <c r="B172" s="20">
        <v>360</v>
      </c>
      <c r="C172" s="21" t="s">
        <v>122</v>
      </c>
      <c r="D172" s="40">
        <v>30</v>
      </c>
      <c r="E172" s="11"/>
      <c r="F172" s="36">
        <v>0</v>
      </c>
      <c r="G172" s="36">
        <v>0</v>
      </c>
      <c r="H172" s="36">
        <v>0</v>
      </c>
      <c r="I172" s="13">
        <f t="shared" si="9"/>
        <v>0</v>
      </c>
      <c r="J172" s="12"/>
      <c r="K172" s="14">
        <f t="shared" si="8"/>
        <v>0</v>
      </c>
      <c r="M172" s="34">
        <f t="shared" si="10"/>
        <v>0</v>
      </c>
      <c r="N172" s="43">
        <f t="shared" si="11"/>
        <v>0</v>
      </c>
    </row>
    <row r="173" spans="1:14" ht="15.75" x14ac:dyDescent="0.25">
      <c r="A173">
        <v>522463</v>
      </c>
      <c r="B173" s="20">
        <v>360</v>
      </c>
      <c r="C173" s="21" t="s">
        <v>123</v>
      </c>
      <c r="D173" s="40">
        <v>30</v>
      </c>
      <c r="E173" s="11"/>
      <c r="F173" s="36">
        <v>0</v>
      </c>
      <c r="G173" s="36">
        <v>0</v>
      </c>
      <c r="H173" s="36">
        <v>0</v>
      </c>
      <c r="I173" s="13">
        <f t="shared" si="9"/>
        <v>0</v>
      </c>
      <c r="J173" s="12"/>
      <c r="K173" s="14">
        <f t="shared" si="8"/>
        <v>0</v>
      </c>
      <c r="M173" s="34">
        <f t="shared" si="10"/>
        <v>0</v>
      </c>
      <c r="N173" s="43">
        <f t="shared" si="11"/>
        <v>0</v>
      </c>
    </row>
    <row r="174" spans="1:14" ht="15.75" x14ac:dyDescent="0.25">
      <c r="A174">
        <v>522462</v>
      </c>
      <c r="B174" s="22">
        <v>360</v>
      </c>
      <c r="C174" s="23" t="s">
        <v>124</v>
      </c>
      <c r="D174" s="40">
        <v>30</v>
      </c>
      <c r="E174" s="11"/>
      <c r="F174" s="36">
        <v>0</v>
      </c>
      <c r="G174" s="36">
        <v>0</v>
      </c>
      <c r="H174" s="36">
        <v>0</v>
      </c>
      <c r="I174" s="13">
        <f t="shared" si="9"/>
        <v>0</v>
      </c>
      <c r="J174" s="12"/>
      <c r="K174" s="14">
        <f t="shared" si="8"/>
        <v>0</v>
      </c>
      <c r="M174" s="34">
        <f t="shared" si="10"/>
        <v>0</v>
      </c>
      <c r="N174" s="43">
        <f t="shared" si="11"/>
        <v>0</v>
      </c>
    </row>
    <row r="175" spans="1:14" ht="15.75" x14ac:dyDescent="0.25">
      <c r="A175">
        <v>522460</v>
      </c>
      <c r="B175" s="22">
        <v>360</v>
      </c>
      <c r="C175" s="23" t="s">
        <v>125</v>
      </c>
      <c r="D175" s="40">
        <v>30</v>
      </c>
      <c r="E175" s="11"/>
      <c r="F175" s="36">
        <v>0</v>
      </c>
      <c r="G175" s="36">
        <v>0</v>
      </c>
      <c r="H175" s="36">
        <v>0</v>
      </c>
      <c r="I175" s="13">
        <f t="shared" si="9"/>
        <v>0</v>
      </c>
      <c r="J175" s="12"/>
      <c r="K175" s="14">
        <f t="shared" si="8"/>
        <v>0</v>
      </c>
      <c r="M175" s="34">
        <f t="shared" si="10"/>
        <v>0</v>
      </c>
      <c r="N175" s="43">
        <f t="shared" si="11"/>
        <v>0</v>
      </c>
    </row>
    <row r="176" spans="1:14" ht="15.75" x14ac:dyDescent="0.25">
      <c r="A176">
        <v>522921</v>
      </c>
      <c r="B176" s="20">
        <v>600</v>
      </c>
      <c r="C176" s="21" t="s">
        <v>126</v>
      </c>
      <c r="D176" s="40">
        <v>50</v>
      </c>
      <c r="E176" s="11"/>
      <c r="F176" s="36">
        <v>0</v>
      </c>
      <c r="G176" s="36">
        <v>0</v>
      </c>
      <c r="H176" s="36">
        <v>0</v>
      </c>
      <c r="I176" s="13">
        <f t="shared" si="9"/>
        <v>0</v>
      </c>
      <c r="J176" s="12"/>
      <c r="K176" s="14">
        <f t="shared" si="8"/>
        <v>0</v>
      </c>
      <c r="M176" s="34">
        <f t="shared" si="10"/>
        <v>0</v>
      </c>
      <c r="N176" s="43">
        <f t="shared" si="11"/>
        <v>0</v>
      </c>
    </row>
    <row r="177" spans="1:14" ht="15.75" x14ac:dyDescent="0.25">
      <c r="A177">
        <v>522906</v>
      </c>
      <c r="B177" s="24">
        <v>600</v>
      </c>
      <c r="C177" s="21" t="s">
        <v>121</v>
      </c>
      <c r="D177" s="40">
        <v>50</v>
      </c>
      <c r="E177" s="11"/>
      <c r="F177" s="36">
        <v>0</v>
      </c>
      <c r="G177" s="36">
        <v>0</v>
      </c>
      <c r="H177" s="36">
        <v>0</v>
      </c>
      <c r="I177" s="13">
        <f t="shared" si="9"/>
        <v>0</v>
      </c>
      <c r="J177" s="12"/>
      <c r="K177" s="14">
        <f t="shared" si="8"/>
        <v>0</v>
      </c>
      <c r="M177" s="34">
        <f t="shared" si="10"/>
        <v>0</v>
      </c>
      <c r="N177" s="43">
        <f t="shared" si="11"/>
        <v>0</v>
      </c>
    </row>
    <row r="178" spans="1:14" ht="15.75" x14ac:dyDescent="0.25">
      <c r="A178">
        <v>522907</v>
      </c>
      <c r="B178" s="24">
        <v>600</v>
      </c>
      <c r="C178" s="21" t="s">
        <v>120</v>
      </c>
      <c r="D178" s="40">
        <v>50</v>
      </c>
      <c r="E178" s="11"/>
      <c r="F178" s="36">
        <v>0</v>
      </c>
      <c r="G178" s="36">
        <v>0</v>
      </c>
      <c r="H178" s="36">
        <v>0</v>
      </c>
      <c r="I178" s="13">
        <f t="shared" si="9"/>
        <v>0</v>
      </c>
      <c r="J178" s="12"/>
      <c r="K178" s="14">
        <f t="shared" si="8"/>
        <v>0</v>
      </c>
      <c r="M178" s="34">
        <f t="shared" si="10"/>
        <v>0</v>
      </c>
      <c r="N178" s="43">
        <f t="shared" si="11"/>
        <v>0</v>
      </c>
    </row>
    <row r="179" spans="1:14" ht="15.75" x14ac:dyDescent="0.25">
      <c r="A179">
        <v>522499</v>
      </c>
      <c r="B179" s="20">
        <v>625</v>
      </c>
      <c r="C179" s="21" t="s">
        <v>14</v>
      </c>
      <c r="D179" s="40">
        <v>50</v>
      </c>
      <c r="E179" s="11"/>
      <c r="F179" s="36">
        <v>0</v>
      </c>
      <c r="G179" s="36">
        <v>0</v>
      </c>
      <c r="H179" s="36">
        <v>0</v>
      </c>
      <c r="I179" s="13">
        <f t="shared" si="9"/>
        <v>0</v>
      </c>
      <c r="J179" s="12"/>
      <c r="K179" s="14">
        <f t="shared" si="8"/>
        <v>0</v>
      </c>
      <c r="M179" s="34">
        <f t="shared" si="10"/>
        <v>0</v>
      </c>
      <c r="N179" s="43">
        <f t="shared" si="11"/>
        <v>0</v>
      </c>
    </row>
    <row r="180" spans="1:14" ht="15.75" x14ac:dyDescent="0.25">
      <c r="A180">
        <v>522496</v>
      </c>
      <c r="B180" s="20">
        <v>625</v>
      </c>
      <c r="C180" s="21" t="s">
        <v>127</v>
      </c>
      <c r="D180" s="40">
        <v>50</v>
      </c>
      <c r="E180" s="11"/>
      <c r="F180" s="36">
        <v>0</v>
      </c>
      <c r="G180" s="36">
        <v>0</v>
      </c>
      <c r="H180" s="36">
        <v>0</v>
      </c>
      <c r="I180" s="13">
        <f t="shared" si="9"/>
        <v>0</v>
      </c>
      <c r="J180" s="12"/>
      <c r="K180" s="14">
        <f t="shared" si="8"/>
        <v>0</v>
      </c>
      <c r="M180" s="34">
        <f t="shared" si="10"/>
        <v>0</v>
      </c>
      <c r="N180" s="43">
        <f t="shared" si="11"/>
        <v>0</v>
      </c>
    </row>
    <row r="181" spans="1:14" ht="15.75" x14ac:dyDescent="0.25">
      <c r="A181">
        <v>522498</v>
      </c>
      <c r="B181" s="20">
        <v>625</v>
      </c>
      <c r="C181" s="21" t="s">
        <v>128</v>
      </c>
      <c r="D181" s="40">
        <v>50</v>
      </c>
      <c r="E181" s="11"/>
      <c r="F181" s="36">
        <v>0</v>
      </c>
      <c r="G181" s="36">
        <v>0</v>
      </c>
      <c r="H181" s="36">
        <v>0</v>
      </c>
      <c r="I181" s="13">
        <f t="shared" si="9"/>
        <v>0</v>
      </c>
      <c r="J181" s="12"/>
      <c r="K181" s="14">
        <f t="shared" si="8"/>
        <v>0</v>
      </c>
      <c r="M181" s="34">
        <f t="shared" si="10"/>
        <v>0</v>
      </c>
      <c r="N181" s="43">
        <f t="shared" si="11"/>
        <v>0</v>
      </c>
    </row>
    <row r="182" spans="1:14" ht="15.75" x14ac:dyDescent="0.25">
      <c r="A182">
        <v>522497</v>
      </c>
      <c r="B182" s="20">
        <v>625</v>
      </c>
      <c r="C182" s="21" t="s">
        <v>129</v>
      </c>
      <c r="D182" s="40">
        <v>50</v>
      </c>
      <c r="E182" s="11"/>
      <c r="F182" s="36">
        <v>0</v>
      </c>
      <c r="G182" s="36">
        <v>0</v>
      </c>
      <c r="H182" s="36">
        <v>0</v>
      </c>
      <c r="I182" s="13">
        <f t="shared" si="9"/>
        <v>0</v>
      </c>
      <c r="J182" s="12"/>
      <c r="K182" s="14">
        <f t="shared" si="8"/>
        <v>0</v>
      </c>
      <c r="M182" s="34">
        <f t="shared" si="10"/>
        <v>0</v>
      </c>
      <c r="N182" s="43">
        <f t="shared" si="11"/>
        <v>0</v>
      </c>
    </row>
    <row r="183" spans="1:14" ht="15.75" x14ac:dyDescent="0.25">
      <c r="A183">
        <v>523188</v>
      </c>
      <c r="B183" s="20"/>
      <c r="C183" s="21" t="s">
        <v>130</v>
      </c>
      <c r="D183" s="40">
        <v>9.25</v>
      </c>
      <c r="E183" s="11"/>
      <c r="F183" s="36">
        <v>18</v>
      </c>
      <c r="G183" s="36">
        <v>0</v>
      </c>
      <c r="H183" s="36">
        <v>23</v>
      </c>
      <c r="I183" s="13">
        <f t="shared" si="9"/>
        <v>41</v>
      </c>
      <c r="J183" s="12"/>
      <c r="K183" s="14">
        <f t="shared" si="8"/>
        <v>41</v>
      </c>
      <c r="L183">
        <v>41</v>
      </c>
      <c r="M183" s="34">
        <f t="shared" si="10"/>
        <v>0</v>
      </c>
      <c r="N183" s="43">
        <f t="shared" si="11"/>
        <v>379.25</v>
      </c>
    </row>
    <row r="184" spans="1:14" ht="16.5" thickBot="1" x14ac:dyDescent="0.3">
      <c r="B184" s="25"/>
      <c r="C184" s="26"/>
      <c r="D184" s="42"/>
      <c r="E184" s="27"/>
      <c r="F184" s="28"/>
      <c r="G184" s="29"/>
      <c r="H184" s="28"/>
      <c r="I184" s="30"/>
      <c r="J184" s="28"/>
      <c r="K184" s="31"/>
      <c r="N184" s="43">
        <f>SUM(N2:N183)</f>
        <v>81384.95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topLeftCell="A154" zoomScale="85" zoomScaleNormal="85" workbookViewId="0">
      <selection activeCell="A169" sqref="A169:XFD169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7.5703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9" style="43" bestFit="1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5" t="s">
        <v>133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/>
      <c r="G2" s="36"/>
      <c r="H2" s="36"/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D2*I2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/>
      <c r="G3" s="36"/>
      <c r="H3" s="36"/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D3*I3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/>
      <c r="F4" s="36">
        <v>5</v>
      </c>
      <c r="G4" s="36">
        <v>2</v>
      </c>
      <c r="H4" s="36">
        <v>4</v>
      </c>
      <c r="I4" s="13">
        <f t="shared" si="0"/>
        <v>11</v>
      </c>
      <c r="J4" s="12"/>
      <c r="K4" s="14">
        <f t="shared" si="1"/>
        <v>11</v>
      </c>
      <c r="L4">
        <v>11</v>
      </c>
      <c r="M4" s="34">
        <f t="shared" si="2"/>
        <v>0</v>
      </c>
      <c r="N4" s="43">
        <f t="shared" si="3"/>
        <v>616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>
        <v>5</v>
      </c>
      <c r="F5" s="36">
        <v>5</v>
      </c>
      <c r="G5" s="36">
        <v>4</v>
      </c>
      <c r="H5" s="36">
        <v>4</v>
      </c>
      <c r="I5" s="13">
        <f t="shared" si="0"/>
        <v>18</v>
      </c>
      <c r="J5" s="12"/>
      <c r="K5" s="14">
        <f t="shared" si="1"/>
        <v>18</v>
      </c>
      <c r="L5">
        <v>18</v>
      </c>
      <c r="M5" s="34">
        <f t="shared" si="2"/>
        <v>0</v>
      </c>
      <c r="N5" s="43">
        <f t="shared" si="3"/>
        <v>1008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120</v>
      </c>
      <c r="F6" s="36">
        <v>7</v>
      </c>
      <c r="G6" s="36">
        <v>12</v>
      </c>
      <c r="H6" s="36">
        <v>11</v>
      </c>
      <c r="I6" s="13">
        <f t="shared" si="0"/>
        <v>150</v>
      </c>
      <c r="J6" s="12"/>
      <c r="K6" s="14">
        <f t="shared" si="1"/>
        <v>150</v>
      </c>
      <c r="L6">
        <v>150</v>
      </c>
      <c r="M6" s="34">
        <f t="shared" si="2"/>
        <v>0</v>
      </c>
      <c r="N6" s="43">
        <f t="shared" si="3"/>
        <v>9150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>
        <v>4</v>
      </c>
      <c r="F7" s="36"/>
      <c r="G7" s="36"/>
      <c r="H7" s="36">
        <v>3</v>
      </c>
      <c r="I7" s="13">
        <f t="shared" si="0"/>
        <v>7</v>
      </c>
      <c r="J7" s="12"/>
      <c r="K7" s="14">
        <f t="shared" si="1"/>
        <v>7</v>
      </c>
      <c r="L7">
        <v>7</v>
      </c>
      <c r="M7" s="34">
        <f t="shared" si="2"/>
        <v>0</v>
      </c>
      <c r="N7" s="43">
        <f t="shared" si="3"/>
        <v>427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/>
      <c r="F8" s="36"/>
      <c r="G8" s="36"/>
      <c r="H8" s="36"/>
      <c r="I8" s="13">
        <f t="shared" si="0"/>
        <v>0</v>
      </c>
      <c r="J8" s="12"/>
      <c r="K8" s="14">
        <f t="shared" si="1"/>
        <v>0</v>
      </c>
      <c r="M8" s="34">
        <f t="shared" si="2"/>
        <v>0</v>
      </c>
      <c r="N8" s="43">
        <f t="shared" si="3"/>
        <v>0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/>
      <c r="F9" s="36"/>
      <c r="G9" s="36"/>
      <c r="H9" s="36"/>
      <c r="I9" s="13">
        <f t="shared" si="0"/>
        <v>0</v>
      </c>
      <c r="J9" s="12"/>
      <c r="K9" s="14">
        <f t="shared" si="1"/>
        <v>0</v>
      </c>
      <c r="M9" s="34">
        <f t="shared" si="2"/>
        <v>0</v>
      </c>
      <c r="N9" s="43">
        <f t="shared" si="3"/>
        <v>0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/>
      <c r="G10" s="36"/>
      <c r="H10" s="36"/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/>
      <c r="G11" s="36"/>
      <c r="H11" s="36"/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/>
      <c r="G12" s="36"/>
      <c r="H12" s="36"/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/>
      <c r="G13" s="36"/>
      <c r="H13" s="36"/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/>
      <c r="G14" s="36"/>
      <c r="H14" s="36"/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.75" x14ac:dyDescent="0.25">
      <c r="B15" s="9">
        <v>1800</v>
      </c>
      <c r="C15" s="10" t="s">
        <v>21</v>
      </c>
      <c r="D15" s="40">
        <v>38</v>
      </c>
      <c r="E15" s="11"/>
      <c r="F15" s="36"/>
      <c r="G15" s="36"/>
      <c r="H15" s="36"/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>
        <v>76</v>
      </c>
      <c r="F16" s="36">
        <v>5</v>
      </c>
      <c r="G16" s="36"/>
      <c r="H16" s="36">
        <v>14</v>
      </c>
      <c r="I16" s="13">
        <f t="shared" si="0"/>
        <v>95</v>
      </c>
      <c r="J16" s="12"/>
      <c r="K16" s="14">
        <f t="shared" si="1"/>
        <v>95</v>
      </c>
      <c r="L16">
        <v>95</v>
      </c>
      <c r="M16" s="34">
        <f t="shared" si="2"/>
        <v>0</v>
      </c>
      <c r="N16" s="43">
        <f t="shared" si="3"/>
        <v>3895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/>
      <c r="G17" s="36"/>
      <c r="H17" s="36"/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/>
      <c r="G18" s="36"/>
      <c r="H18" s="36"/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/>
      <c r="F19" s="36"/>
      <c r="G19" s="36">
        <v>2</v>
      </c>
      <c r="H19" s="36"/>
      <c r="I19" s="13">
        <f t="shared" si="0"/>
        <v>2</v>
      </c>
      <c r="J19" s="12"/>
      <c r="K19" s="14">
        <f t="shared" si="1"/>
        <v>2</v>
      </c>
      <c r="L19">
        <v>2</v>
      </c>
      <c r="M19" s="34">
        <f t="shared" si="2"/>
        <v>0</v>
      </c>
      <c r="N19" s="43">
        <f t="shared" si="3"/>
        <v>82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>
        <v>6</v>
      </c>
      <c r="F20" s="36">
        <v>5</v>
      </c>
      <c r="G20" s="36"/>
      <c r="H20" s="36"/>
      <c r="I20" s="13">
        <f t="shared" si="0"/>
        <v>11</v>
      </c>
      <c r="J20" s="12"/>
      <c r="K20" s="14">
        <f t="shared" si="1"/>
        <v>11</v>
      </c>
      <c r="L20">
        <v>11</v>
      </c>
      <c r="M20" s="34">
        <f t="shared" si="2"/>
        <v>0</v>
      </c>
      <c r="N20" s="43">
        <f t="shared" si="3"/>
        <v>451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/>
      <c r="G21" s="36"/>
      <c r="H21" s="36"/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/>
      <c r="G22" s="36"/>
      <c r="H22" s="36"/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/>
      <c r="G23" s="36"/>
      <c r="H23" s="36"/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66</v>
      </c>
      <c r="F24" s="36">
        <v>7</v>
      </c>
      <c r="G24" s="36">
        <v>4</v>
      </c>
      <c r="H24" s="36">
        <v>2</v>
      </c>
      <c r="I24" s="13">
        <f t="shared" si="0"/>
        <v>79</v>
      </c>
      <c r="J24" s="12"/>
      <c r="K24" s="14">
        <f t="shared" si="1"/>
        <v>79</v>
      </c>
      <c r="L24">
        <v>79</v>
      </c>
      <c r="M24" s="34">
        <f t="shared" si="2"/>
        <v>0</v>
      </c>
      <c r="N24" s="43">
        <f t="shared" si="3"/>
        <v>2765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/>
      <c r="G25" s="36"/>
      <c r="H25" s="36"/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/>
      <c r="G26" s="36"/>
      <c r="H26" s="36"/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/>
      <c r="F27" s="36"/>
      <c r="G27" s="36"/>
      <c r="H27" s="36"/>
      <c r="I27" s="13">
        <f t="shared" si="0"/>
        <v>0</v>
      </c>
      <c r="J27" s="12"/>
      <c r="K27" s="14">
        <f t="shared" si="1"/>
        <v>0</v>
      </c>
      <c r="M27" s="34">
        <f t="shared" si="2"/>
        <v>0</v>
      </c>
      <c r="N27" s="43">
        <f t="shared" si="3"/>
        <v>0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/>
      <c r="G28" s="36"/>
      <c r="H28" s="36"/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/>
      <c r="G29" s="36"/>
      <c r="H29" s="36"/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/>
      <c r="G30" s="36"/>
      <c r="H30" s="36"/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/>
      <c r="G31" s="36"/>
      <c r="H31" s="36"/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/>
      <c r="G32" s="36"/>
      <c r="H32" s="36"/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/>
      <c r="F33" s="36"/>
      <c r="G33" s="36"/>
      <c r="H33" s="36"/>
      <c r="I33" s="13">
        <f t="shared" si="0"/>
        <v>0</v>
      </c>
      <c r="J33" s="12"/>
      <c r="K33" s="14">
        <f t="shared" si="1"/>
        <v>0</v>
      </c>
      <c r="M33" s="34">
        <f t="shared" si="2"/>
        <v>0</v>
      </c>
      <c r="N33" s="43">
        <f t="shared" si="3"/>
        <v>0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/>
      <c r="G34" s="36"/>
      <c r="H34" s="36"/>
      <c r="I34" s="13">
        <f t="shared" si="0"/>
        <v>0</v>
      </c>
      <c r="J34" s="12"/>
      <c r="K34" s="14">
        <f t="shared" si="1"/>
        <v>0</v>
      </c>
      <c r="M34" s="34">
        <f t="shared" si="2"/>
        <v>0</v>
      </c>
      <c r="N34" s="43">
        <f t="shared" si="3"/>
        <v>0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/>
      <c r="G35" s="36"/>
      <c r="H35" s="36"/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>
        <v>1</v>
      </c>
      <c r="F36" s="36"/>
      <c r="G36" s="36"/>
      <c r="H36" s="36"/>
      <c r="I36" s="13">
        <f t="shared" si="0"/>
        <v>1</v>
      </c>
      <c r="J36" s="12"/>
      <c r="K36" s="14">
        <f t="shared" si="1"/>
        <v>1</v>
      </c>
      <c r="L36">
        <v>1</v>
      </c>
      <c r="M36" s="34">
        <f t="shared" si="2"/>
        <v>0</v>
      </c>
      <c r="N36" s="43">
        <f t="shared" si="3"/>
        <v>25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>
        <v>116</v>
      </c>
      <c r="F37" s="36"/>
      <c r="G37" s="36">
        <v>1</v>
      </c>
      <c r="H37" s="36">
        <v>1</v>
      </c>
      <c r="I37" s="13">
        <f t="shared" si="0"/>
        <v>118</v>
      </c>
      <c r="J37" s="12"/>
      <c r="K37" s="14">
        <f t="shared" si="1"/>
        <v>118</v>
      </c>
      <c r="L37">
        <v>118</v>
      </c>
      <c r="M37" s="34">
        <f t="shared" si="2"/>
        <v>0</v>
      </c>
      <c r="N37" s="43">
        <f t="shared" si="3"/>
        <v>2950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/>
      <c r="G38" s="36"/>
      <c r="H38" s="36"/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/>
      <c r="G39" s="36"/>
      <c r="H39" s="36"/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/>
      <c r="G40" s="36"/>
      <c r="H40" s="36"/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/>
      <c r="G41" s="36"/>
      <c r="H41" s="36"/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/>
      <c r="G42" s="36"/>
      <c r="H42" s="36"/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>
        <v>10</v>
      </c>
      <c r="F43" s="36">
        <v>1</v>
      </c>
      <c r="G43" s="36">
        <v>4</v>
      </c>
      <c r="H43" s="36">
        <v>5</v>
      </c>
      <c r="I43" s="13">
        <f t="shared" si="0"/>
        <v>20</v>
      </c>
      <c r="J43" s="12"/>
      <c r="K43" s="14">
        <f t="shared" si="1"/>
        <v>20</v>
      </c>
      <c r="L43">
        <v>20</v>
      </c>
      <c r="M43" s="34">
        <f t="shared" si="2"/>
        <v>0</v>
      </c>
      <c r="N43" s="43">
        <f t="shared" si="3"/>
        <v>600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/>
      <c r="G44" s="36"/>
      <c r="H44" s="36"/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/>
      <c r="G45" s="36"/>
      <c r="H45" s="36"/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/>
      <c r="G46" s="36"/>
      <c r="H46" s="36"/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/>
      <c r="G47" s="36"/>
      <c r="H47" s="36"/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/>
      <c r="G48" s="36"/>
      <c r="H48" s="36"/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/>
      <c r="G49" s="36"/>
      <c r="H49" s="36"/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/>
      <c r="G50" s="36"/>
      <c r="H50" s="36"/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117</v>
      </c>
      <c r="F51" s="36">
        <v>1</v>
      </c>
      <c r="G51" s="36">
        <v>4</v>
      </c>
      <c r="H51" s="36">
        <v>5</v>
      </c>
      <c r="I51" s="13">
        <f t="shared" si="0"/>
        <v>127</v>
      </c>
      <c r="J51" s="12"/>
      <c r="K51" s="14">
        <f t="shared" si="1"/>
        <v>127</v>
      </c>
      <c r="L51">
        <v>127</v>
      </c>
      <c r="M51" s="34">
        <f t="shared" si="2"/>
        <v>0</v>
      </c>
      <c r="N51" s="43">
        <f t="shared" si="3"/>
        <v>3810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/>
      <c r="G52" s="36"/>
      <c r="H52" s="36"/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>
        <v>67</v>
      </c>
      <c r="F53" s="36"/>
      <c r="G53" s="36">
        <v>4</v>
      </c>
      <c r="H53" s="36"/>
      <c r="I53" s="13">
        <f t="shared" si="0"/>
        <v>71</v>
      </c>
      <c r="J53" s="12"/>
      <c r="K53" s="14">
        <f>I53-J53</f>
        <v>71</v>
      </c>
      <c r="L53">
        <v>71</v>
      </c>
      <c r="M53" s="34">
        <f t="shared" si="2"/>
        <v>0</v>
      </c>
      <c r="N53" s="43">
        <f t="shared" si="3"/>
        <v>2840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/>
      <c r="F54" s="36">
        <v>4</v>
      </c>
      <c r="G54" s="36"/>
      <c r="H54" s="36"/>
      <c r="I54" s="13">
        <f t="shared" si="0"/>
        <v>4</v>
      </c>
      <c r="J54" s="12"/>
      <c r="K54" s="14">
        <f t="shared" si="1"/>
        <v>4</v>
      </c>
      <c r="L54">
        <v>4</v>
      </c>
      <c r="M54" s="34">
        <f t="shared" si="2"/>
        <v>0</v>
      </c>
      <c r="N54" s="43">
        <f t="shared" si="3"/>
        <v>104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/>
      <c r="G55" s="36"/>
      <c r="H55" s="36"/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/>
      <c r="G56" s="36"/>
      <c r="H56" s="36"/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2</v>
      </c>
      <c r="F57" s="36"/>
      <c r="G57" s="36">
        <v>4</v>
      </c>
      <c r="H57" s="36"/>
      <c r="I57" s="13">
        <f t="shared" si="0"/>
        <v>6</v>
      </c>
      <c r="J57" s="12"/>
      <c r="K57" s="14">
        <f>I57-J57</f>
        <v>6</v>
      </c>
      <c r="L57">
        <v>6</v>
      </c>
      <c r="M57" s="34">
        <f t="shared" si="2"/>
        <v>0</v>
      </c>
      <c r="N57" s="43">
        <f t="shared" si="3"/>
        <v>186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/>
      <c r="G58" s="36"/>
      <c r="H58" s="36"/>
      <c r="I58" s="13">
        <f t="shared" si="0"/>
        <v>0</v>
      </c>
      <c r="J58" s="12"/>
      <c r="K58" s="14">
        <f t="shared" ref="K58:K121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/>
      <c r="F59" s="36"/>
      <c r="G59" s="36"/>
      <c r="H59" s="36"/>
      <c r="I59" s="13">
        <f t="shared" si="0"/>
        <v>0</v>
      </c>
      <c r="J59" s="12"/>
      <c r="K59" s="14">
        <f t="shared" si="4"/>
        <v>0</v>
      </c>
      <c r="M59" s="34">
        <f t="shared" si="2"/>
        <v>0</v>
      </c>
      <c r="N59" s="43">
        <f t="shared" si="3"/>
        <v>0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>
        <v>1</v>
      </c>
      <c r="F60" s="36"/>
      <c r="G60" s="36"/>
      <c r="H60" s="36"/>
      <c r="I60" s="13">
        <f t="shared" si="0"/>
        <v>1</v>
      </c>
      <c r="J60" s="12"/>
      <c r="K60" s="14">
        <f t="shared" si="4"/>
        <v>1</v>
      </c>
      <c r="L60">
        <v>1</v>
      </c>
      <c r="M60" s="34">
        <f t="shared" si="2"/>
        <v>0</v>
      </c>
      <c r="N60" s="43">
        <f t="shared" si="3"/>
        <v>15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/>
      <c r="G61" s="36"/>
      <c r="H61" s="36"/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/>
      <c r="G62" s="36"/>
      <c r="H62" s="36"/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/>
      <c r="G63" s="36"/>
      <c r="H63" s="36"/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/>
      <c r="G64" s="36"/>
      <c r="H64" s="36"/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/>
      <c r="G65" s="36"/>
      <c r="H65" s="36"/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/>
      <c r="G66" s="36"/>
      <c r="H66" s="36"/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/>
      <c r="G67" s="36"/>
      <c r="H67" s="36"/>
      <c r="I67" s="13">
        <f t="shared" ref="I67:I130" si="5">E67+F67+G67+H67</f>
        <v>0</v>
      </c>
      <c r="J67" s="12"/>
      <c r="K67" s="14">
        <f t="shared" si="4"/>
        <v>0</v>
      </c>
      <c r="M67" s="34">
        <f t="shared" ref="M67:M130" si="6">L67-I67</f>
        <v>0</v>
      </c>
      <c r="N67" s="43">
        <f t="shared" ref="N67:N130" si="7">D67*I67</f>
        <v>0</v>
      </c>
    </row>
    <row r="68" spans="1:14" ht="15.75" x14ac:dyDescent="0.25">
      <c r="A68">
        <v>598822</v>
      </c>
      <c r="B68" s="9">
        <v>250</v>
      </c>
      <c r="C68" s="10" t="s">
        <v>61</v>
      </c>
      <c r="D68" s="40">
        <v>25</v>
      </c>
      <c r="E68" s="11"/>
      <c r="F68" s="36"/>
      <c r="G68" s="36"/>
      <c r="H68" s="36"/>
      <c r="I68" s="13">
        <f t="shared" si="5"/>
        <v>0</v>
      </c>
      <c r="J68" s="12"/>
      <c r="K68" s="14">
        <f t="shared" si="4"/>
        <v>0</v>
      </c>
      <c r="M68" s="34">
        <f t="shared" si="6"/>
        <v>0</v>
      </c>
      <c r="N68" s="43">
        <f t="shared" si="7"/>
        <v>0</v>
      </c>
    </row>
    <row r="69" spans="1:14" ht="15.75" x14ac:dyDescent="0.25">
      <c r="A69">
        <v>598823</v>
      </c>
      <c r="B69" s="9">
        <v>250</v>
      </c>
      <c r="C69" s="10" t="s">
        <v>62</v>
      </c>
      <c r="D69" s="40">
        <v>25</v>
      </c>
      <c r="E69" s="11"/>
      <c r="F69" s="36"/>
      <c r="G69" s="36"/>
      <c r="H69" s="36"/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B70" s="9">
        <v>250</v>
      </c>
      <c r="C70" s="10" t="s">
        <v>54</v>
      </c>
      <c r="D70" s="40">
        <v>25</v>
      </c>
      <c r="E70" s="11"/>
      <c r="F70" s="36"/>
      <c r="G70" s="36"/>
      <c r="H70" s="36"/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55</v>
      </c>
      <c r="D71" s="40">
        <v>25</v>
      </c>
      <c r="E71" s="11"/>
      <c r="F71" s="36"/>
      <c r="G71" s="36"/>
      <c r="H71" s="36"/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56</v>
      </c>
      <c r="D72" s="40">
        <v>25</v>
      </c>
      <c r="E72" s="11"/>
      <c r="F72" s="36"/>
      <c r="G72" s="36"/>
      <c r="H72" s="36"/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1000</v>
      </c>
      <c r="C73" s="10" t="s">
        <v>52</v>
      </c>
      <c r="D73" s="40">
        <v>35</v>
      </c>
      <c r="E73" s="11"/>
      <c r="F73" s="36"/>
      <c r="G73" s="36"/>
      <c r="H73" s="36"/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53</v>
      </c>
      <c r="D74" s="40">
        <v>35</v>
      </c>
      <c r="E74" s="11"/>
      <c r="F74" s="36"/>
      <c r="G74" s="36"/>
      <c r="H74" s="36"/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54</v>
      </c>
      <c r="D75" s="40">
        <v>35</v>
      </c>
      <c r="E75" s="11"/>
      <c r="F75" s="36"/>
      <c r="G75" s="36"/>
      <c r="H75" s="36"/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55</v>
      </c>
      <c r="D76" s="40">
        <v>35</v>
      </c>
      <c r="E76" s="11"/>
      <c r="F76" s="36"/>
      <c r="G76" s="36"/>
      <c r="H76" s="36"/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56</v>
      </c>
      <c r="D77" s="40">
        <v>35</v>
      </c>
      <c r="E77" s="11"/>
      <c r="F77" s="36"/>
      <c r="G77" s="36"/>
      <c r="H77" s="36"/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A78">
        <v>599461</v>
      </c>
      <c r="B78" s="18">
        <v>145</v>
      </c>
      <c r="C78" s="10" t="s">
        <v>63</v>
      </c>
      <c r="D78" s="40">
        <v>15</v>
      </c>
      <c r="E78" s="11"/>
      <c r="F78" s="36"/>
      <c r="G78" s="36"/>
      <c r="H78" s="36"/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B79" s="9">
        <v>145</v>
      </c>
      <c r="C79" s="10" t="s">
        <v>64</v>
      </c>
      <c r="D79" s="40">
        <v>15</v>
      </c>
      <c r="E79" s="11"/>
      <c r="F79" s="36"/>
      <c r="G79" s="36"/>
      <c r="H79" s="36"/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65</v>
      </c>
      <c r="D80" s="40">
        <v>15</v>
      </c>
      <c r="E80" s="11"/>
      <c r="F80" s="36"/>
      <c r="G80" s="36"/>
      <c r="H80" s="36"/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A81">
        <v>522287</v>
      </c>
      <c r="B81" s="9">
        <v>360</v>
      </c>
      <c r="C81" s="10" t="s">
        <v>66</v>
      </c>
      <c r="D81" s="40">
        <v>20</v>
      </c>
      <c r="E81" s="11"/>
      <c r="F81" s="36"/>
      <c r="G81" s="36"/>
      <c r="H81" s="36"/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522286</v>
      </c>
      <c r="B82" s="18">
        <v>360</v>
      </c>
      <c r="C82" s="10" t="s">
        <v>67</v>
      </c>
      <c r="D82" s="40">
        <v>20</v>
      </c>
      <c r="E82" s="11"/>
      <c r="F82" s="36"/>
      <c r="G82" s="36"/>
      <c r="H82" s="36"/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522278</v>
      </c>
      <c r="B83" s="18">
        <v>360</v>
      </c>
      <c r="C83" s="10" t="s">
        <v>68</v>
      </c>
      <c r="D83" s="40">
        <v>20</v>
      </c>
      <c r="E83" s="11"/>
      <c r="F83" s="36"/>
      <c r="G83" s="36"/>
      <c r="H83" s="36"/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B84" s="9">
        <v>360</v>
      </c>
      <c r="C84" s="10" t="s">
        <v>69</v>
      </c>
      <c r="D84" s="40">
        <v>20</v>
      </c>
      <c r="E84" s="11"/>
      <c r="F84" s="36"/>
      <c r="G84" s="36"/>
      <c r="H84" s="36"/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70</v>
      </c>
      <c r="D85" s="40">
        <v>20</v>
      </c>
      <c r="E85" s="11"/>
      <c r="F85" s="36"/>
      <c r="G85" s="36"/>
      <c r="H85" s="36"/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71</v>
      </c>
      <c r="D86" s="40">
        <v>20</v>
      </c>
      <c r="E86" s="11"/>
      <c r="F86" s="36"/>
      <c r="G86" s="36"/>
      <c r="H86" s="36"/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72</v>
      </c>
      <c r="D87" s="40">
        <v>20</v>
      </c>
      <c r="E87" s="11"/>
      <c r="F87" s="36"/>
      <c r="G87" s="36"/>
      <c r="H87" s="36"/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A88">
        <v>522501</v>
      </c>
      <c r="B88" s="9">
        <v>625</v>
      </c>
      <c r="C88" s="10" t="s">
        <v>66</v>
      </c>
      <c r="D88" s="40">
        <v>50</v>
      </c>
      <c r="E88" s="11"/>
      <c r="F88" s="36"/>
      <c r="G88" s="36"/>
      <c r="H88" s="36">
        <v>1</v>
      </c>
      <c r="I88" s="13">
        <f t="shared" si="5"/>
        <v>1</v>
      </c>
      <c r="J88" s="12"/>
      <c r="K88" s="14">
        <f>I88-J88</f>
        <v>1</v>
      </c>
      <c r="L88">
        <v>1</v>
      </c>
      <c r="M88" s="34">
        <f t="shared" si="6"/>
        <v>0</v>
      </c>
      <c r="N88" s="43">
        <f t="shared" si="7"/>
        <v>50</v>
      </c>
    </row>
    <row r="89" spans="1:14" ht="15.75" x14ac:dyDescent="0.25">
      <c r="A89">
        <v>522502</v>
      </c>
      <c r="B89" s="9">
        <v>625</v>
      </c>
      <c r="C89" s="10" t="s">
        <v>68</v>
      </c>
      <c r="D89" s="40">
        <v>50</v>
      </c>
      <c r="E89" s="11">
        <v>20</v>
      </c>
      <c r="F89" s="36">
        <v>2</v>
      </c>
      <c r="G89" s="36">
        <v>17</v>
      </c>
      <c r="H89" s="36">
        <v>23</v>
      </c>
      <c r="I89" s="13">
        <f t="shared" si="5"/>
        <v>62</v>
      </c>
      <c r="J89" s="12"/>
      <c r="K89" s="14">
        <f t="shared" si="4"/>
        <v>62</v>
      </c>
      <c r="L89">
        <v>62</v>
      </c>
      <c r="M89" s="34">
        <f t="shared" si="6"/>
        <v>0</v>
      </c>
      <c r="N89" s="43">
        <f t="shared" si="7"/>
        <v>3100</v>
      </c>
    </row>
    <row r="90" spans="1:14" ht="15.75" x14ac:dyDescent="0.25">
      <c r="A90">
        <v>522500</v>
      </c>
      <c r="B90" s="9">
        <v>625</v>
      </c>
      <c r="C90" s="10" t="s">
        <v>67</v>
      </c>
      <c r="D90" s="40">
        <v>50</v>
      </c>
      <c r="E90" s="11"/>
      <c r="F90" s="36"/>
      <c r="G90" s="36">
        <v>7</v>
      </c>
      <c r="H90" s="36"/>
      <c r="I90" s="13">
        <f t="shared" si="5"/>
        <v>7</v>
      </c>
      <c r="J90" s="12"/>
      <c r="K90" s="14">
        <f t="shared" si="4"/>
        <v>7</v>
      </c>
      <c r="L90">
        <v>7</v>
      </c>
      <c r="M90" s="34">
        <f t="shared" si="6"/>
        <v>0</v>
      </c>
      <c r="N90" s="43">
        <f t="shared" si="7"/>
        <v>350</v>
      </c>
    </row>
    <row r="91" spans="1:14" ht="15.75" x14ac:dyDescent="0.25">
      <c r="A91">
        <v>522499</v>
      </c>
      <c r="B91" s="9">
        <v>625</v>
      </c>
      <c r="C91" s="10" t="s">
        <v>73</v>
      </c>
      <c r="D91" s="40">
        <v>50</v>
      </c>
      <c r="E91" s="11"/>
      <c r="F91" s="36"/>
      <c r="G91" s="36"/>
      <c r="H91" s="36"/>
      <c r="I91" s="13">
        <f t="shared" si="5"/>
        <v>0</v>
      </c>
      <c r="J91" s="12"/>
      <c r="K91" s="14">
        <f t="shared" si="4"/>
        <v>0</v>
      </c>
      <c r="M91" s="34">
        <f t="shared" si="6"/>
        <v>0</v>
      </c>
      <c r="N91" s="43">
        <f t="shared" si="7"/>
        <v>0</v>
      </c>
    </row>
    <row r="92" spans="1:14" ht="15.75" x14ac:dyDescent="0.25">
      <c r="B92" s="9">
        <v>625</v>
      </c>
      <c r="C92" s="10" t="s">
        <v>70</v>
      </c>
      <c r="D92" s="40">
        <v>50</v>
      </c>
      <c r="E92" s="11"/>
      <c r="F92" s="36"/>
      <c r="G92" s="36"/>
      <c r="H92" s="36"/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A93">
        <v>522496</v>
      </c>
      <c r="B93" s="9">
        <v>625</v>
      </c>
      <c r="C93" s="10" t="s">
        <v>71</v>
      </c>
      <c r="D93" s="40">
        <v>50</v>
      </c>
      <c r="E93" s="11">
        <v>41</v>
      </c>
      <c r="F93" s="36">
        <v>18</v>
      </c>
      <c r="G93" s="36">
        <v>6</v>
      </c>
      <c r="H93" s="36">
        <v>13</v>
      </c>
      <c r="I93" s="13">
        <f t="shared" si="5"/>
        <v>78</v>
      </c>
      <c r="J93" s="12"/>
      <c r="K93" s="14">
        <f t="shared" si="4"/>
        <v>78</v>
      </c>
      <c r="L93">
        <v>78</v>
      </c>
      <c r="M93" s="34">
        <f t="shared" si="6"/>
        <v>0</v>
      </c>
      <c r="N93" s="43">
        <f t="shared" si="7"/>
        <v>3900</v>
      </c>
    </row>
    <row r="94" spans="1:14" ht="15.75" x14ac:dyDescent="0.25">
      <c r="A94">
        <v>522498</v>
      </c>
      <c r="B94" s="9">
        <v>625</v>
      </c>
      <c r="C94" s="10" t="s">
        <v>74</v>
      </c>
      <c r="D94" s="40">
        <v>50</v>
      </c>
      <c r="E94" s="11"/>
      <c r="F94" s="36"/>
      <c r="G94" s="36"/>
      <c r="H94" s="36"/>
      <c r="I94" s="13">
        <f t="shared" si="5"/>
        <v>0</v>
      </c>
      <c r="J94" s="12"/>
      <c r="K94" s="14">
        <f t="shared" si="4"/>
        <v>0</v>
      </c>
      <c r="M94" s="34">
        <f t="shared" si="6"/>
        <v>0</v>
      </c>
      <c r="N94" s="43">
        <f t="shared" si="7"/>
        <v>0</v>
      </c>
    </row>
    <row r="95" spans="1:14" ht="15.75" x14ac:dyDescent="0.25">
      <c r="A95">
        <v>517507</v>
      </c>
      <c r="B95" s="18">
        <v>500</v>
      </c>
      <c r="C95" s="17" t="s">
        <v>75</v>
      </c>
      <c r="D95" s="40">
        <v>35</v>
      </c>
      <c r="E95" s="11"/>
      <c r="F95" s="36"/>
      <c r="G95" s="36">
        <v>1</v>
      </c>
      <c r="H95" s="36"/>
      <c r="I95" s="13">
        <f t="shared" si="5"/>
        <v>1</v>
      </c>
      <c r="J95" s="12"/>
      <c r="K95" s="14">
        <f t="shared" si="4"/>
        <v>1</v>
      </c>
      <c r="L95">
        <v>1</v>
      </c>
      <c r="M95" s="34">
        <f t="shared" si="6"/>
        <v>0</v>
      </c>
      <c r="N95" s="43">
        <f t="shared" si="7"/>
        <v>35</v>
      </c>
    </row>
    <row r="96" spans="1:14" ht="15.75" x14ac:dyDescent="0.25">
      <c r="A96">
        <v>517499</v>
      </c>
      <c r="B96" s="18">
        <v>360</v>
      </c>
      <c r="C96" s="17" t="s">
        <v>75</v>
      </c>
      <c r="D96" s="40">
        <v>25</v>
      </c>
      <c r="E96" s="11"/>
      <c r="F96" s="36">
        <v>12</v>
      </c>
      <c r="G96" s="36">
        <v>4</v>
      </c>
      <c r="H96" s="36">
        <v>3</v>
      </c>
      <c r="I96" s="13">
        <f t="shared" si="5"/>
        <v>19</v>
      </c>
      <c r="J96" s="12"/>
      <c r="K96" s="14">
        <f t="shared" si="4"/>
        <v>19</v>
      </c>
      <c r="L96">
        <v>19</v>
      </c>
      <c r="M96" s="34">
        <f t="shared" si="6"/>
        <v>0</v>
      </c>
      <c r="N96" s="43">
        <f t="shared" si="7"/>
        <v>475</v>
      </c>
    </row>
    <row r="97" spans="1:14" ht="15.75" x14ac:dyDescent="0.25">
      <c r="B97" s="9">
        <v>625</v>
      </c>
      <c r="C97" s="10" t="s">
        <v>76</v>
      </c>
      <c r="D97" s="40">
        <v>44.5</v>
      </c>
      <c r="E97" s="11"/>
      <c r="F97" s="36"/>
      <c r="G97" s="36"/>
      <c r="H97" s="36"/>
      <c r="I97" s="13">
        <f t="shared" si="5"/>
        <v>0</v>
      </c>
      <c r="J97" s="12"/>
      <c r="K97" s="14">
        <f t="shared" si="4"/>
        <v>0</v>
      </c>
      <c r="M97" s="34">
        <f t="shared" si="6"/>
        <v>0</v>
      </c>
      <c r="N97" s="43">
        <f t="shared" si="7"/>
        <v>0</v>
      </c>
    </row>
    <row r="98" spans="1:14" ht="15.75" x14ac:dyDescent="0.25">
      <c r="B98" s="9">
        <v>3030</v>
      </c>
      <c r="C98" s="10" t="s">
        <v>76</v>
      </c>
      <c r="D98" s="40">
        <v>56</v>
      </c>
      <c r="E98" s="11"/>
      <c r="F98" s="36"/>
      <c r="G98" s="36"/>
      <c r="H98" s="36"/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355</v>
      </c>
      <c r="C99" s="10" t="s">
        <v>18</v>
      </c>
      <c r="D99" s="40">
        <v>44.5</v>
      </c>
      <c r="E99" s="11"/>
      <c r="F99" s="36"/>
      <c r="G99" s="36"/>
      <c r="H99" s="36"/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911</v>
      </c>
      <c r="C100" s="10" t="s">
        <v>77</v>
      </c>
      <c r="D100" s="40">
        <v>22.5</v>
      </c>
      <c r="E100" s="11"/>
      <c r="F100" s="36"/>
      <c r="G100" s="36"/>
      <c r="H100" s="36"/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A101">
        <v>500386</v>
      </c>
      <c r="B101" s="9">
        <v>355</v>
      </c>
      <c r="C101" s="10" t="s">
        <v>21</v>
      </c>
      <c r="D101" s="40">
        <v>15</v>
      </c>
      <c r="E101" s="11"/>
      <c r="F101" s="36"/>
      <c r="G101" s="36"/>
      <c r="H101" s="36"/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598944</v>
      </c>
      <c r="B102" s="20">
        <v>355</v>
      </c>
      <c r="C102" s="21" t="s">
        <v>14</v>
      </c>
      <c r="D102" s="40">
        <v>15</v>
      </c>
      <c r="E102" s="11"/>
      <c r="F102" s="36"/>
      <c r="G102" s="36"/>
      <c r="H102" s="36"/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B103" s="20">
        <v>355</v>
      </c>
      <c r="C103" s="21" t="s">
        <v>16</v>
      </c>
      <c r="D103" s="40">
        <v>15</v>
      </c>
      <c r="E103" s="11"/>
      <c r="F103" s="36"/>
      <c r="G103" s="36"/>
      <c r="H103" s="36"/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A104">
        <v>598947</v>
      </c>
      <c r="B104" s="20">
        <v>355</v>
      </c>
      <c r="C104" s="21" t="s">
        <v>15</v>
      </c>
      <c r="D104" s="40">
        <v>15</v>
      </c>
      <c r="E104" s="11"/>
      <c r="F104" s="36"/>
      <c r="G104" s="36"/>
      <c r="H104" s="36"/>
      <c r="I104" s="13">
        <f t="shared" si="5"/>
        <v>0</v>
      </c>
      <c r="J104" s="12"/>
      <c r="K104" s="14"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598943</v>
      </c>
      <c r="B105" s="20">
        <v>355</v>
      </c>
      <c r="C105" s="21" t="s">
        <v>17</v>
      </c>
      <c r="D105" s="40">
        <v>15</v>
      </c>
      <c r="E105" s="11"/>
      <c r="F105" s="36"/>
      <c r="G105" s="36"/>
      <c r="H105" s="36"/>
      <c r="I105" s="13">
        <f t="shared" si="5"/>
        <v>0</v>
      </c>
      <c r="J105" s="12"/>
      <c r="K105" s="14">
        <f t="shared" si="4"/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B106" s="20">
        <v>355</v>
      </c>
      <c r="C106" s="21" t="s">
        <v>78</v>
      </c>
      <c r="D106" s="40">
        <v>15</v>
      </c>
      <c r="E106" s="11"/>
      <c r="F106" s="36"/>
      <c r="G106" s="36"/>
      <c r="H106" s="36"/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79</v>
      </c>
      <c r="D107" s="40">
        <v>15</v>
      </c>
      <c r="E107" s="11"/>
      <c r="F107" s="36"/>
      <c r="G107" s="36"/>
      <c r="H107" s="36"/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80</v>
      </c>
      <c r="D108" s="40">
        <v>15</v>
      </c>
      <c r="E108" s="11"/>
      <c r="F108" s="36"/>
      <c r="G108" s="36"/>
      <c r="H108" s="36"/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145</v>
      </c>
      <c r="C109" s="21" t="s">
        <v>70</v>
      </c>
      <c r="D109" s="40">
        <v>10</v>
      </c>
      <c r="E109" s="11"/>
      <c r="F109" s="36"/>
      <c r="G109" s="36"/>
      <c r="H109" s="36"/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68</v>
      </c>
      <c r="D110" s="40">
        <v>10</v>
      </c>
      <c r="E110" s="11"/>
      <c r="F110" s="36"/>
      <c r="G110" s="36"/>
      <c r="H110" s="36"/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73</v>
      </c>
      <c r="D111" s="40">
        <v>10</v>
      </c>
      <c r="E111" s="11"/>
      <c r="F111" s="36"/>
      <c r="G111" s="36"/>
      <c r="H111" s="36"/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/>
      <c r="C112" s="21" t="s">
        <v>66</v>
      </c>
      <c r="D112" s="40">
        <v>10</v>
      </c>
      <c r="E112" s="11"/>
      <c r="F112" s="36"/>
      <c r="G112" s="36"/>
      <c r="H112" s="36"/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81</v>
      </c>
      <c r="D113" s="40">
        <v>10</v>
      </c>
      <c r="E113" s="11"/>
      <c r="F113" s="36"/>
      <c r="G113" s="36"/>
      <c r="H113" s="36"/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74</v>
      </c>
      <c r="D114" s="40">
        <v>10</v>
      </c>
      <c r="E114" s="11"/>
      <c r="F114" s="36"/>
      <c r="G114" s="36"/>
      <c r="H114" s="36"/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82</v>
      </c>
      <c r="D115" s="40">
        <v>10</v>
      </c>
      <c r="E115" s="11"/>
      <c r="F115" s="36"/>
      <c r="G115" s="36"/>
      <c r="H115" s="36"/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>
        <v>250</v>
      </c>
      <c r="C116" s="21" t="s">
        <v>12</v>
      </c>
      <c r="D116" s="40">
        <v>41</v>
      </c>
      <c r="E116" s="11"/>
      <c r="F116" s="36"/>
      <c r="G116" s="36"/>
      <c r="H116" s="36"/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83</v>
      </c>
      <c r="D117" s="40">
        <v>25</v>
      </c>
      <c r="E117" s="11"/>
      <c r="F117" s="36"/>
      <c r="G117" s="36"/>
      <c r="H117" s="36"/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1000</v>
      </c>
      <c r="C118" s="21" t="s">
        <v>83</v>
      </c>
      <c r="D118" s="40">
        <v>30</v>
      </c>
      <c r="E118" s="11"/>
      <c r="F118" s="36"/>
      <c r="G118" s="36"/>
      <c r="H118" s="36"/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250</v>
      </c>
      <c r="C119" s="21" t="s">
        <v>84</v>
      </c>
      <c r="D119" s="40">
        <v>25</v>
      </c>
      <c r="E119" s="11"/>
      <c r="F119" s="36"/>
      <c r="G119" s="36"/>
      <c r="H119" s="36"/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A120">
        <v>522665</v>
      </c>
      <c r="B120" s="22">
        <v>1.5</v>
      </c>
      <c r="C120" s="23" t="s">
        <v>85</v>
      </c>
      <c r="D120" s="40">
        <v>50</v>
      </c>
      <c r="E120" s="11">
        <v>35</v>
      </c>
      <c r="F120" s="36">
        <v>4</v>
      </c>
      <c r="G120" s="36">
        <v>1</v>
      </c>
      <c r="H120" s="36"/>
      <c r="I120" s="13">
        <f t="shared" si="5"/>
        <v>40</v>
      </c>
      <c r="J120" s="12"/>
      <c r="K120" s="14">
        <f t="shared" si="4"/>
        <v>40</v>
      </c>
      <c r="L120">
        <v>52</v>
      </c>
      <c r="M120" s="34">
        <f t="shared" si="6"/>
        <v>12</v>
      </c>
      <c r="N120" s="43">
        <f t="shared" si="7"/>
        <v>2000</v>
      </c>
    </row>
    <row r="121" spans="1:14" ht="15.75" x14ac:dyDescent="0.25">
      <c r="A121">
        <v>522664</v>
      </c>
      <c r="B121" s="20">
        <v>1.5</v>
      </c>
      <c r="C121" s="21" t="s">
        <v>86</v>
      </c>
      <c r="D121" s="40">
        <v>50</v>
      </c>
      <c r="E121" s="11">
        <v>35</v>
      </c>
      <c r="F121" s="36">
        <v>5</v>
      </c>
      <c r="G121" s="36"/>
      <c r="H121" s="36"/>
      <c r="I121" s="13">
        <f t="shared" si="5"/>
        <v>40</v>
      </c>
      <c r="J121" s="12"/>
      <c r="K121" s="14">
        <f t="shared" si="4"/>
        <v>40</v>
      </c>
      <c r="L121">
        <v>51</v>
      </c>
      <c r="M121" s="34">
        <f t="shared" si="6"/>
        <v>11</v>
      </c>
      <c r="N121" s="43">
        <f t="shared" si="7"/>
        <v>2000</v>
      </c>
    </row>
    <row r="122" spans="1:14" ht="15.75" x14ac:dyDescent="0.25">
      <c r="B122" s="24">
        <v>250</v>
      </c>
      <c r="C122" s="21" t="s">
        <v>13</v>
      </c>
      <c r="D122" s="40">
        <v>41</v>
      </c>
      <c r="E122" s="11"/>
      <c r="F122" s="36"/>
      <c r="G122" s="36"/>
      <c r="H122" s="36"/>
      <c r="I122" s="13">
        <f t="shared" si="5"/>
        <v>0</v>
      </c>
      <c r="J122" s="12"/>
      <c r="K122" s="14">
        <f t="shared" ref="K122:K183" si="8">I122-J122</f>
        <v>0</v>
      </c>
      <c r="M122" s="34">
        <f t="shared" si="6"/>
        <v>0</v>
      </c>
      <c r="N122" s="43">
        <f t="shared" si="7"/>
        <v>0</v>
      </c>
    </row>
    <row r="123" spans="1:14" ht="15.75" x14ac:dyDescent="0.25">
      <c r="B123" s="20">
        <v>360</v>
      </c>
      <c r="C123" s="21" t="s">
        <v>87</v>
      </c>
      <c r="D123" s="40">
        <v>25</v>
      </c>
      <c r="E123" s="11"/>
      <c r="F123" s="36"/>
      <c r="G123" s="36"/>
      <c r="H123" s="36"/>
      <c r="I123" s="13">
        <f t="shared" si="5"/>
        <v>0</v>
      </c>
      <c r="J123" s="12"/>
      <c r="K123" s="14">
        <f t="shared" si="8"/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1000</v>
      </c>
      <c r="C124" s="21" t="s">
        <v>75</v>
      </c>
      <c r="D124" s="40">
        <v>75</v>
      </c>
      <c r="E124" s="11"/>
      <c r="F124" s="36"/>
      <c r="G124" s="36"/>
      <c r="H124" s="36"/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355</v>
      </c>
      <c r="C125" s="21" t="s">
        <v>88</v>
      </c>
      <c r="D125" s="40">
        <v>15</v>
      </c>
      <c r="E125" s="11"/>
      <c r="F125" s="36"/>
      <c r="G125" s="36"/>
      <c r="H125" s="36"/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330</v>
      </c>
      <c r="C126" s="21" t="s">
        <v>89</v>
      </c>
      <c r="D126" s="40">
        <v>20</v>
      </c>
      <c r="E126" s="11"/>
      <c r="F126" s="36"/>
      <c r="G126" s="36"/>
      <c r="H126" s="36"/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90</v>
      </c>
      <c r="D127" s="40">
        <v>20</v>
      </c>
      <c r="E127" s="11"/>
      <c r="F127" s="36"/>
      <c r="G127" s="36"/>
      <c r="H127" s="36"/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91</v>
      </c>
      <c r="D128" s="40">
        <v>20</v>
      </c>
      <c r="E128" s="11"/>
      <c r="F128" s="36"/>
      <c r="G128" s="36"/>
      <c r="H128" s="36"/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92</v>
      </c>
      <c r="D129" s="40">
        <v>20</v>
      </c>
      <c r="E129" s="11"/>
      <c r="F129" s="36"/>
      <c r="G129" s="36"/>
      <c r="H129" s="36"/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93</v>
      </c>
      <c r="D130" s="40">
        <v>20</v>
      </c>
      <c r="E130" s="11"/>
      <c r="F130" s="36"/>
      <c r="G130" s="36"/>
      <c r="H130" s="36"/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94</v>
      </c>
      <c r="D131" s="40">
        <v>20</v>
      </c>
      <c r="E131" s="11"/>
      <c r="F131" s="36"/>
      <c r="G131" s="36"/>
      <c r="H131" s="36"/>
      <c r="I131" s="13">
        <f t="shared" ref="I131:I183" si="9">E131+F131+G131+H131</f>
        <v>0</v>
      </c>
      <c r="J131" s="12"/>
      <c r="K131" s="14">
        <f t="shared" si="8"/>
        <v>0</v>
      </c>
      <c r="M131" s="34">
        <f t="shared" ref="M131:M183" si="10">L131-I131</f>
        <v>0</v>
      </c>
      <c r="N131" s="43">
        <f t="shared" ref="N131:N183" si="11">D131*I131</f>
        <v>0</v>
      </c>
    </row>
    <row r="132" spans="1:14" ht="15.75" x14ac:dyDescent="0.25">
      <c r="B132" s="20">
        <v>330</v>
      </c>
      <c r="C132" s="21" t="s">
        <v>95</v>
      </c>
      <c r="D132" s="40">
        <v>20</v>
      </c>
      <c r="E132" s="11"/>
      <c r="F132" s="36"/>
      <c r="G132" s="36"/>
      <c r="H132" s="36"/>
      <c r="I132" s="13">
        <f t="shared" si="9"/>
        <v>0</v>
      </c>
      <c r="J132" s="12"/>
      <c r="K132" s="14">
        <f t="shared" si="8"/>
        <v>0</v>
      </c>
      <c r="M132" s="34">
        <f t="shared" si="10"/>
        <v>0</v>
      </c>
      <c r="N132" s="43">
        <f t="shared" si="11"/>
        <v>0</v>
      </c>
    </row>
    <row r="133" spans="1:14" ht="15.75" x14ac:dyDescent="0.25">
      <c r="B133" s="20">
        <v>330</v>
      </c>
      <c r="C133" s="21" t="s">
        <v>96</v>
      </c>
      <c r="D133" s="40">
        <v>20</v>
      </c>
      <c r="E133" s="11"/>
      <c r="F133" s="36"/>
      <c r="G133" s="36"/>
      <c r="H133" s="36"/>
      <c r="I133" s="13">
        <f t="shared" si="9"/>
        <v>0</v>
      </c>
      <c r="J133" s="12"/>
      <c r="K133" s="14">
        <f t="shared" si="8"/>
        <v>0</v>
      </c>
      <c r="M133" s="34">
        <f t="shared" si="10"/>
        <v>0</v>
      </c>
      <c r="N133" s="43">
        <f t="shared" si="11"/>
        <v>0</v>
      </c>
    </row>
    <row r="134" spans="1:14" ht="15.75" x14ac:dyDescent="0.25">
      <c r="B134" s="20">
        <v>330</v>
      </c>
      <c r="C134" s="21" t="s">
        <v>97</v>
      </c>
      <c r="D134" s="40">
        <v>20</v>
      </c>
      <c r="E134" s="11"/>
      <c r="F134" s="36"/>
      <c r="G134" s="36"/>
      <c r="H134" s="36"/>
      <c r="I134" s="13">
        <f t="shared" si="9"/>
        <v>0</v>
      </c>
      <c r="J134" s="12"/>
      <c r="K134" s="14">
        <f t="shared" si="8"/>
        <v>0</v>
      </c>
      <c r="M134" s="34">
        <f t="shared" si="10"/>
        <v>0</v>
      </c>
      <c r="N134" s="43">
        <f t="shared" si="11"/>
        <v>0</v>
      </c>
    </row>
    <row r="135" spans="1:14" ht="15.75" x14ac:dyDescent="0.25">
      <c r="B135" s="20"/>
      <c r="C135" s="21" t="s">
        <v>98</v>
      </c>
      <c r="D135" s="40">
        <v>20</v>
      </c>
      <c r="E135" s="11"/>
      <c r="F135" s="36"/>
      <c r="G135" s="36"/>
      <c r="H135" s="36"/>
      <c r="I135" s="13">
        <f t="shared" si="9"/>
        <v>0</v>
      </c>
      <c r="J135" s="12"/>
      <c r="K135" s="14">
        <f t="shared" si="8"/>
        <v>0</v>
      </c>
      <c r="M135" s="34">
        <f t="shared" si="10"/>
        <v>0</v>
      </c>
      <c r="N135" s="43">
        <f t="shared" si="11"/>
        <v>0</v>
      </c>
    </row>
    <row r="136" spans="1:14" ht="15.75" x14ac:dyDescent="0.25">
      <c r="B136" s="24">
        <v>473</v>
      </c>
      <c r="C136" s="21" t="s">
        <v>43</v>
      </c>
      <c r="D136" s="40">
        <v>25</v>
      </c>
      <c r="E136" s="11"/>
      <c r="F136" s="36"/>
      <c r="G136" s="36"/>
      <c r="H136" s="36"/>
      <c r="I136" s="13">
        <f t="shared" si="9"/>
        <v>0</v>
      </c>
      <c r="J136" s="12"/>
      <c r="K136" s="14">
        <f t="shared" si="8"/>
        <v>0</v>
      </c>
      <c r="M136" s="34">
        <f t="shared" si="10"/>
        <v>0</v>
      </c>
      <c r="N136" s="43">
        <f t="shared" si="11"/>
        <v>0</v>
      </c>
    </row>
    <row r="137" spans="1:14" ht="15.75" x14ac:dyDescent="0.25">
      <c r="B137" s="24">
        <v>473</v>
      </c>
      <c r="C137" s="21" t="s">
        <v>45</v>
      </c>
      <c r="D137" s="40">
        <v>25</v>
      </c>
      <c r="E137" s="11"/>
      <c r="F137" s="36"/>
      <c r="G137" s="36"/>
      <c r="H137" s="36"/>
      <c r="I137" s="13">
        <f t="shared" si="9"/>
        <v>0</v>
      </c>
      <c r="J137" s="12"/>
      <c r="K137" s="14">
        <f t="shared" si="8"/>
        <v>0</v>
      </c>
      <c r="M137" s="34">
        <f t="shared" si="10"/>
        <v>0</v>
      </c>
      <c r="N137" s="43">
        <f t="shared" si="11"/>
        <v>0</v>
      </c>
    </row>
    <row r="138" spans="1:14" ht="15.75" x14ac:dyDescent="0.25">
      <c r="A138">
        <v>599675</v>
      </c>
      <c r="B138" s="24">
        <v>473</v>
      </c>
      <c r="C138" s="21" t="s">
        <v>99</v>
      </c>
      <c r="D138" s="40">
        <v>25</v>
      </c>
      <c r="E138" s="11"/>
      <c r="F138" s="36"/>
      <c r="G138" s="36"/>
      <c r="H138" s="36"/>
      <c r="I138" s="13">
        <f t="shared" si="9"/>
        <v>0</v>
      </c>
      <c r="J138" s="12"/>
      <c r="K138" s="14">
        <f t="shared" si="8"/>
        <v>0</v>
      </c>
      <c r="M138" s="34">
        <f t="shared" si="10"/>
        <v>0</v>
      </c>
      <c r="N138" s="43">
        <f t="shared" si="11"/>
        <v>0</v>
      </c>
    </row>
    <row r="139" spans="1:14" ht="15.75" x14ac:dyDescent="0.25">
      <c r="B139" s="20">
        <v>473</v>
      </c>
      <c r="C139" s="21" t="s">
        <v>46</v>
      </c>
      <c r="D139" s="40">
        <v>25</v>
      </c>
      <c r="E139" s="11"/>
      <c r="F139" s="36"/>
      <c r="G139" s="36"/>
      <c r="H139" s="36"/>
      <c r="I139" s="13">
        <f t="shared" si="9"/>
        <v>0</v>
      </c>
      <c r="J139" s="12"/>
      <c r="K139" s="14">
        <f t="shared" si="8"/>
        <v>0</v>
      </c>
      <c r="M139" s="34">
        <f t="shared" si="10"/>
        <v>0</v>
      </c>
      <c r="N139" s="43">
        <f t="shared" si="11"/>
        <v>0</v>
      </c>
    </row>
    <row r="140" spans="1:14" ht="15.75" x14ac:dyDescent="0.25">
      <c r="A140">
        <v>522564</v>
      </c>
      <c r="B140" s="20">
        <v>473</v>
      </c>
      <c r="C140" s="21" t="s">
        <v>100</v>
      </c>
      <c r="D140" s="40">
        <v>25</v>
      </c>
      <c r="E140" s="11"/>
      <c r="F140" s="36"/>
      <c r="G140" s="36"/>
      <c r="H140" s="36"/>
      <c r="I140" s="13">
        <f t="shared" si="9"/>
        <v>0</v>
      </c>
      <c r="J140" s="12"/>
      <c r="K140" s="14">
        <f>I140-J140</f>
        <v>0</v>
      </c>
      <c r="M140" s="34">
        <f t="shared" si="10"/>
        <v>0</v>
      </c>
      <c r="N140" s="43">
        <f t="shared" si="11"/>
        <v>0</v>
      </c>
    </row>
    <row r="141" spans="1:14" ht="15.75" x14ac:dyDescent="0.25">
      <c r="B141" s="20">
        <v>625</v>
      </c>
      <c r="C141" s="21" t="s">
        <v>100</v>
      </c>
      <c r="D141" s="40">
        <v>62.5</v>
      </c>
      <c r="E141" s="11"/>
      <c r="F141" s="36"/>
      <c r="G141" s="36"/>
      <c r="H141" s="36"/>
      <c r="I141" s="13">
        <f t="shared" si="9"/>
        <v>0</v>
      </c>
      <c r="J141" s="12"/>
      <c r="K141" s="14">
        <f t="shared" si="8"/>
        <v>0</v>
      </c>
      <c r="M141" s="34">
        <f t="shared" si="10"/>
        <v>0</v>
      </c>
      <c r="N141" s="43">
        <f t="shared" si="11"/>
        <v>0</v>
      </c>
    </row>
    <row r="142" spans="1:14" ht="15.75" x14ac:dyDescent="0.25">
      <c r="A142" t="s">
        <v>101</v>
      </c>
      <c r="B142" s="20"/>
      <c r="C142" s="21" t="s">
        <v>102</v>
      </c>
      <c r="D142" s="40">
        <v>60</v>
      </c>
      <c r="E142" s="11"/>
      <c r="F142" s="36"/>
      <c r="G142" s="36"/>
      <c r="H142" s="36"/>
      <c r="I142" s="13">
        <f t="shared" si="9"/>
        <v>0</v>
      </c>
      <c r="J142" s="12"/>
      <c r="K142" s="14">
        <f t="shared" si="8"/>
        <v>0</v>
      </c>
      <c r="M142" s="34">
        <f t="shared" si="10"/>
        <v>0</v>
      </c>
      <c r="N142" s="43">
        <f t="shared" si="11"/>
        <v>0</v>
      </c>
    </row>
    <row r="143" spans="1:14" ht="15.75" x14ac:dyDescent="0.25">
      <c r="B143" s="20">
        <v>400</v>
      </c>
      <c r="C143" s="21" t="s">
        <v>103</v>
      </c>
      <c r="D143" s="40">
        <v>25</v>
      </c>
      <c r="E143" s="11"/>
      <c r="F143" s="36"/>
      <c r="G143" s="36"/>
      <c r="H143" s="36"/>
      <c r="I143" s="13">
        <f t="shared" si="9"/>
        <v>0</v>
      </c>
      <c r="J143" s="12"/>
      <c r="K143" s="14">
        <f t="shared" si="8"/>
        <v>0</v>
      </c>
      <c r="M143" s="34">
        <f t="shared" si="10"/>
        <v>0</v>
      </c>
      <c r="N143" s="43">
        <f t="shared" si="11"/>
        <v>0</v>
      </c>
    </row>
    <row r="144" spans="1:14" ht="15.75" x14ac:dyDescent="0.25">
      <c r="B144" s="20">
        <v>300</v>
      </c>
      <c r="C144" s="21" t="s">
        <v>43</v>
      </c>
      <c r="D144" s="40">
        <v>30</v>
      </c>
      <c r="E144" s="11"/>
      <c r="F144" s="36"/>
      <c r="G144" s="36"/>
      <c r="H144" s="36"/>
      <c r="I144" s="13">
        <f t="shared" si="9"/>
        <v>0</v>
      </c>
      <c r="J144" s="12"/>
      <c r="K144" s="14">
        <f t="shared" si="8"/>
        <v>0</v>
      </c>
      <c r="M144" s="34">
        <f t="shared" si="10"/>
        <v>0</v>
      </c>
      <c r="N144" s="43">
        <f t="shared" si="11"/>
        <v>0</v>
      </c>
    </row>
    <row r="145" spans="1:14" ht="15.75" x14ac:dyDescent="0.25">
      <c r="B145" s="20">
        <v>300</v>
      </c>
      <c r="C145" s="21" t="s">
        <v>45</v>
      </c>
      <c r="D145" s="40">
        <v>30</v>
      </c>
      <c r="E145" s="11"/>
      <c r="F145" s="36"/>
      <c r="G145" s="36"/>
      <c r="H145" s="36"/>
      <c r="I145" s="13">
        <f t="shared" si="9"/>
        <v>0</v>
      </c>
      <c r="J145" s="12"/>
      <c r="K145" s="14">
        <f t="shared" si="8"/>
        <v>0</v>
      </c>
      <c r="M145" s="34">
        <f t="shared" si="10"/>
        <v>0</v>
      </c>
      <c r="N145" s="43">
        <f t="shared" si="11"/>
        <v>0</v>
      </c>
    </row>
    <row r="146" spans="1:14" ht="15.75" x14ac:dyDescent="0.25">
      <c r="B146" s="20">
        <v>300</v>
      </c>
      <c r="C146" s="21" t="s">
        <v>44</v>
      </c>
      <c r="D146" s="40">
        <v>30</v>
      </c>
      <c r="E146" s="11"/>
      <c r="F146" s="36"/>
      <c r="G146" s="36"/>
      <c r="H146" s="36"/>
      <c r="I146" s="13">
        <f t="shared" si="9"/>
        <v>0</v>
      </c>
      <c r="J146" s="12"/>
      <c r="K146" s="14">
        <f t="shared" si="8"/>
        <v>0</v>
      </c>
      <c r="M146" s="34">
        <f t="shared" si="10"/>
        <v>0</v>
      </c>
      <c r="N146" s="43">
        <f t="shared" si="11"/>
        <v>0</v>
      </c>
    </row>
    <row r="147" spans="1:14" ht="15.75" x14ac:dyDescent="0.25">
      <c r="B147" s="20">
        <v>1090</v>
      </c>
      <c r="C147" s="21" t="s">
        <v>11</v>
      </c>
      <c r="D147" s="40">
        <v>25</v>
      </c>
      <c r="E147" s="11"/>
      <c r="F147" s="36"/>
      <c r="G147" s="36"/>
      <c r="H147" s="36"/>
      <c r="I147" s="13">
        <f t="shared" si="9"/>
        <v>0</v>
      </c>
      <c r="J147" s="12"/>
      <c r="K147" s="14">
        <f t="shared" si="8"/>
        <v>0</v>
      </c>
      <c r="M147" s="34">
        <f t="shared" si="10"/>
        <v>0</v>
      </c>
      <c r="N147" s="43">
        <f t="shared" si="11"/>
        <v>0</v>
      </c>
    </row>
    <row r="148" spans="1:14" ht="15.75" x14ac:dyDescent="0.25">
      <c r="B148" s="20">
        <v>2600</v>
      </c>
      <c r="C148" s="21" t="s">
        <v>11</v>
      </c>
      <c r="D148" s="40">
        <v>50</v>
      </c>
      <c r="E148" s="11"/>
      <c r="F148" s="36"/>
      <c r="G148" s="36"/>
      <c r="H148" s="36"/>
      <c r="I148" s="13">
        <f t="shared" si="9"/>
        <v>0</v>
      </c>
      <c r="J148" s="12"/>
      <c r="K148" s="14">
        <f t="shared" si="8"/>
        <v>0</v>
      </c>
      <c r="M148" s="34">
        <f t="shared" si="10"/>
        <v>0</v>
      </c>
      <c r="N148" s="43">
        <f t="shared" si="11"/>
        <v>0</v>
      </c>
    </row>
    <row r="149" spans="1:14" ht="15.75" x14ac:dyDescent="0.25">
      <c r="B149" s="20">
        <v>250</v>
      </c>
      <c r="C149" s="21" t="s">
        <v>104</v>
      </c>
      <c r="D149" s="40">
        <v>41</v>
      </c>
      <c r="E149" s="11"/>
      <c r="F149" s="36"/>
      <c r="G149" s="36"/>
      <c r="H149" s="36"/>
      <c r="I149" s="13">
        <f t="shared" si="9"/>
        <v>0</v>
      </c>
      <c r="J149" s="12"/>
      <c r="K149" s="14">
        <f t="shared" si="8"/>
        <v>0</v>
      </c>
      <c r="M149" s="34">
        <f t="shared" si="10"/>
        <v>0</v>
      </c>
      <c r="N149" s="43">
        <f t="shared" si="11"/>
        <v>0</v>
      </c>
    </row>
    <row r="150" spans="1:14" ht="15.75" x14ac:dyDescent="0.25">
      <c r="B150" s="20"/>
      <c r="C150" s="21" t="s">
        <v>105</v>
      </c>
      <c r="D150" s="40">
        <v>41</v>
      </c>
      <c r="E150" s="11"/>
      <c r="F150" s="36"/>
      <c r="G150" s="36"/>
      <c r="H150" s="36"/>
      <c r="I150" s="13">
        <f t="shared" si="9"/>
        <v>0</v>
      </c>
      <c r="J150" s="12"/>
      <c r="K150" s="14">
        <f t="shared" si="8"/>
        <v>0</v>
      </c>
      <c r="M150" s="34">
        <f t="shared" si="10"/>
        <v>0</v>
      </c>
      <c r="N150" s="43">
        <f t="shared" si="11"/>
        <v>0</v>
      </c>
    </row>
    <row r="151" spans="1:14" ht="15.75" x14ac:dyDescent="0.25">
      <c r="B151" s="20"/>
      <c r="C151" s="21" t="s">
        <v>16</v>
      </c>
      <c r="D151" s="40">
        <v>41</v>
      </c>
      <c r="E151" s="11"/>
      <c r="F151" s="36"/>
      <c r="G151" s="36"/>
      <c r="H151" s="36"/>
      <c r="I151" s="13">
        <f t="shared" si="9"/>
        <v>0</v>
      </c>
      <c r="J151" s="12"/>
      <c r="K151" s="14">
        <f t="shared" si="8"/>
        <v>0</v>
      </c>
      <c r="M151" s="34">
        <f t="shared" si="10"/>
        <v>0</v>
      </c>
      <c r="N151" s="43">
        <f t="shared" si="11"/>
        <v>0</v>
      </c>
    </row>
    <row r="152" spans="1:14" ht="15.75" x14ac:dyDescent="0.25">
      <c r="B152" s="20"/>
      <c r="C152" s="21" t="s">
        <v>106</v>
      </c>
      <c r="D152" s="40">
        <v>41</v>
      </c>
      <c r="E152" s="11"/>
      <c r="F152" s="36"/>
      <c r="G152" s="36"/>
      <c r="H152" s="36"/>
      <c r="I152" s="13">
        <f t="shared" si="9"/>
        <v>0</v>
      </c>
      <c r="J152" s="12"/>
      <c r="K152" s="14">
        <f t="shared" si="8"/>
        <v>0</v>
      </c>
      <c r="M152" s="34">
        <f t="shared" si="10"/>
        <v>0</v>
      </c>
      <c r="N152" s="43">
        <f t="shared" si="11"/>
        <v>0</v>
      </c>
    </row>
    <row r="153" spans="1:14" ht="15.75" x14ac:dyDescent="0.25">
      <c r="B153" s="20"/>
      <c r="C153" s="21" t="s">
        <v>107</v>
      </c>
      <c r="D153" s="40">
        <v>41</v>
      </c>
      <c r="E153" s="11"/>
      <c r="F153" s="36"/>
      <c r="G153" s="36"/>
      <c r="H153" s="36"/>
      <c r="I153" s="13">
        <f t="shared" si="9"/>
        <v>0</v>
      </c>
      <c r="J153" s="12"/>
      <c r="K153" s="14">
        <f t="shared" si="8"/>
        <v>0</v>
      </c>
      <c r="M153" s="34">
        <f t="shared" si="10"/>
        <v>0</v>
      </c>
      <c r="N153" s="43">
        <f t="shared" si="11"/>
        <v>0</v>
      </c>
    </row>
    <row r="154" spans="1:14" ht="15.75" x14ac:dyDescent="0.25">
      <c r="B154" s="20"/>
      <c r="C154" s="21" t="s">
        <v>108</v>
      </c>
      <c r="D154" s="40">
        <v>41</v>
      </c>
      <c r="E154" s="11"/>
      <c r="F154" s="36"/>
      <c r="G154" s="36"/>
      <c r="H154" s="36"/>
      <c r="I154" s="13">
        <f t="shared" si="9"/>
        <v>0</v>
      </c>
      <c r="J154" s="12"/>
      <c r="K154" s="14">
        <f t="shared" si="8"/>
        <v>0</v>
      </c>
      <c r="M154" s="34">
        <f t="shared" si="10"/>
        <v>0</v>
      </c>
      <c r="N154" s="43">
        <f t="shared" si="11"/>
        <v>0</v>
      </c>
    </row>
    <row r="155" spans="1:14" ht="15.75" x14ac:dyDescent="0.25">
      <c r="A155">
        <v>699952</v>
      </c>
      <c r="B155" s="20"/>
      <c r="C155" s="21" t="s">
        <v>109</v>
      </c>
      <c r="D155" s="40">
        <v>52.2</v>
      </c>
      <c r="E155" s="11"/>
      <c r="F155" s="36"/>
      <c r="G155" s="36"/>
      <c r="H155" s="36"/>
      <c r="I155" s="13">
        <f t="shared" si="9"/>
        <v>0</v>
      </c>
      <c r="J155" s="12"/>
      <c r="K155" s="14">
        <f t="shared" si="8"/>
        <v>0</v>
      </c>
      <c r="M155" s="34">
        <f t="shared" si="10"/>
        <v>0</v>
      </c>
      <c r="N155" s="43">
        <f t="shared" si="11"/>
        <v>0</v>
      </c>
    </row>
    <row r="156" spans="1:14" ht="15.75" x14ac:dyDescent="0.25">
      <c r="A156">
        <v>501020</v>
      </c>
      <c r="B156" s="24">
        <v>360</v>
      </c>
      <c r="C156" s="21" t="s">
        <v>110</v>
      </c>
      <c r="D156" s="40">
        <v>23.5</v>
      </c>
      <c r="E156" s="11"/>
      <c r="F156" s="36"/>
      <c r="G156" s="36"/>
      <c r="H156" s="36"/>
      <c r="I156" s="13">
        <f t="shared" si="9"/>
        <v>0</v>
      </c>
      <c r="J156" s="12"/>
      <c r="K156" s="14">
        <f t="shared" si="8"/>
        <v>0</v>
      </c>
      <c r="M156" s="34">
        <f t="shared" si="10"/>
        <v>0</v>
      </c>
      <c r="N156" s="43">
        <f t="shared" si="11"/>
        <v>0</v>
      </c>
    </row>
    <row r="157" spans="1:14" ht="15.75" x14ac:dyDescent="0.25">
      <c r="A157">
        <v>501505</v>
      </c>
      <c r="B157" s="24">
        <v>360</v>
      </c>
      <c r="C157" s="21" t="s">
        <v>17</v>
      </c>
      <c r="D157" s="40">
        <v>47</v>
      </c>
      <c r="E157" s="11"/>
      <c r="F157" s="36"/>
      <c r="G157" s="36"/>
      <c r="H157" s="36"/>
      <c r="I157" s="13">
        <f t="shared" si="9"/>
        <v>0</v>
      </c>
      <c r="J157" s="12"/>
      <c r="K157" s="14">
        <f t="shared" si="8"/>
        <v>0</v>
      </c>
      <c r="M157" s="34">
        <f t="shared" si="10"/>
        <v>0</v>
      </c>
      <c r="N157" s="43">
        <f t="shared" si="11"/>
        <v>0</v>
      </c>
    </row>
    <row r="158" spans="1:14" ht="15.75" x14ac:dyDescent="0.25">
      <c r="B158" s="20">
        <v>250</v>
      </c>
      <c r="C158" s="21" t="s">
        <v>111</v>
      </c>
      <c r="D158" s="40">
        <v>25</v>
      </c>
      <c r="E158" s="11"/>
      <c r="F158" s="36"/>
      <c r="G158" s="36"/>
      <c r="H158" s="36"/>
      <c r="I158" s="13">
        <f t="shared" si="9"/>
        <v>0</v>
      </c>
      <c r="J158" s="12"/>
      <c r="K158" s="14">
        <f t="shared" si="8"/>
        <v>0</v>
      </c>
      <c r="M158" s="34">
        <f t="shared" si="10"/>
        <v>0</v>
      </c>
      <c r="N158" s="43">
        <f t="shared" si="11"/>
        <v>0</v>
      </c>
    </row>
    <row r="159" spans="1:14" ht="15.75" x14ac:dyDescent="0.25">
      <c r="B159" s="20">
        <v>250</v>
      </c>
      <c r="C159" s="21" t="s">
        <v>112</v>
      </c>
      <c r="D159" s="40">
        <v>25</v>
      </c>
      <c r="E159" s="11"/>
      <c r="F159" s="36"/>
      <c r="G159" s="36"/>
      <c r="H159" s="36"/>
      <c r="I159" s="13">
        <f t="shared" si="9"/>
        <v>0</v>
      </c>
      <c r="J159" s="12"/>
      <c r="K159" s="14">
        <f t="shared" si="8"/>
        <v>0</v>
      </c>
      <c r="M159" s="34">
        <f t="shared" si="10"/>
        <v>0</v>
      </c>
      <c r="N159" s="43">
        <f t="shared" si="11"/>
        <v>0</v>
      </c>
    </row>
    <row r="160" spans="1:14" ht="15.75" x14ac:dyDescent="0.25">
      <c r="A160">
        <v>501207</v>
      </c>
      <c r="B160" s="20">
        <v>360</v>
      </c>
      <c r="C160" s="21" t="s">
        <v>113</v>
      </c>
      <c r="D160" s="40">
        <v>47</v>
      </c>
      <c r="E160" s="11"/>
      <c r="F160" s="36"/>
      <c r="G160" s="36"/>
      <c r="H160" s="36"/>
      <c r="I160" s="13">
        <f t="shared" si="9"/>
        <v>0</v>
      </c>
      <c r="J160" s="12"/>
      <c r="K160" s="14">
        <f t="shared" si="8"/>
        <v>0</v>
      </c>
      <c r="M160" s="34">
        <f t="shared" si="10"/>
        <v>0</v>
      </c>
      <c r="N160" s="43">
        <f t="shared" si="11"/>
        <v>0</v>
      </c>
    </row>
    <row r="161" spans="1:14" ht="15.75" x14ac:dyDescent="0.25">
      <c r="A161">
        <v>599858</v>
      </c>
      <c r="B161" s="22"/>
      <c r="C161" s="23" t="s">
        <v>114</v>
      </c>
      <c r="D161" s="40">
        <v>44</v>
      </c>
      <c r="E161" s="11"/>
      <c r="F161" s="36"/>
      <c r="G161" s="36"/>
      <c r="H161" s="36"/>
      <c r="I161" s="13">
        <f t="shared" si="9"/>
        <v>0</v>
      </c>
      <c r="J161" s="12"/>
      <c r="K161" s="14">
        <f t="shared" si="8"/>
        <v>0</v>
      </c>
      <c r="M161" s="34">
        <f t="shared" si="10"/>
        <v>0</v>
      </c>
      <c r="N161" s="43">
        <f t="shared" si="11"/>
        <v>0</v>
      </c>
    </row>
    <row r="162" spans="1:14" ht="15.75" x14ac:dyDescent="0.25">
      <c r="A162">
        <v>599857</v>
      </c>
      <c r="B162" s="22"/>
      <c r="C162" s="23" t="s">
        <v>115</v>
      </c>
      <c r="D162" s="40">
        <v>44</v>
      </c>
      <c r="E162" s="11"/>
      <c r="F162" s="36"/>
      <c r="G162" s="36"/>
      <c r="H162" s="36"/>
      <c r="I162" s="13">
        <f t="shared" si="9"/>
        <v>0</v>
      </c>
      <c r="J162" s="12"/>
      <c r="K162" s="14">
        <f t="shared" si="8"/>
        <v>0</v>
      </c>
      <c r="M162" s="34">
        <f t="shared" si="10"/>
        <v>0</v>
      </c>
      <c r="N162" s="43">
        <f t="shared" si="11"/>
        <v>0</v>
      </c>
    </row>
    <row r="163" spans="1:14" ht="15.75" x14ac:dyDescent="0.25">
      <c r="A163">
        <v>621972</v>
      </c>
      <c r="B163" s="20"/>
      <c r="C163" s="21" t="s">
        <v>116</v>
      </c>
      <c r="D163" s="40">
        <v>14.4</v>
      </c>
      <c r="E163" s="11"/>
      <c r="F163" s="36"/>
      <c r="G163" s="36"/>
      <c r="H163" s="36"/>
      <c r="I163" s="13">
        <f t="shared" si="9"/>
        <v>0</v>
      </c>
      <c r="J163" s="12"/>
      <c r="K163" s="14">
        <f t="shared" si="8"/>
        <v>0</v>
      </c>
      <c r="M163" s="34">
        <f t="shared" si="10"/>
        <v>0</v>
      </c>
      <c r="N163" s="43">
        <f t="shared" si="11"/>
        <v>0</v>
      </c>
    </row>
    <row r="164" spans="1:14" ht="15.75" x14ac:dyDescent="0.25">
      <c r="A164">
        <v>622165</v>
      </c>
      <c r="B164" s="20"/>
      <c r="C164" s="21" t="s">
        <v>117</v>
      </c>
      <c r="D164" s="40">
        <v>73.7</v>
      </c>
      <c r="E164" s="11">
        <v>3</v>
      </c>
      <c r="F164" s="36"/>
      <c r="G164" s="36"/>
      <c r="H164" s="36"/>
      <c r="I164" s="13">
        <f t="shared" si="9"/>
        <v>3</v>
      </c>
      <c r="J164" s="12"/>
      <c r="K164" s="14">
        <f t="shared" si="8"/>
        <v>3</v>
      </c>
      <c r="L164">
        <v>3</v>
      </c>
      <c r="M164" s="34">
        <f t="shared" si="10"/>
        <v>0</v>
      </c>
      <c r="N164" s="43">
        <f t="shared" si="11"/>
        <v>221.10000000000002</v>
      </c>
    </row>
    <row r="165" spans="1:14" ht="15.75" x14ac:dyDescent="0.25">
      <c r="B165" s="20">
        <v>300</v>
      </c>
      <c r="C165" s="21" t="s">
        <v>104</v>
      </c>
      <c r="D165" s="40">
        <v>40</v>
      </c>
      <c r="E165" s="11"/>
      <c r="F165" s="36"/>
      <c r="G165" s="36"/>
      <c r="H165" s="36"/>
      <c r="I165" s="13">
        <f t="shared" si="9"/>
        <v>0</v>
      </c>
      <c r="J165" s="12"/>
      <c r="K165" s="14">
        <f t="shared" si="8"/>
        <v>0</v>
      </c>
      <c r="M165" s="34">
        <f t="shared" si="10"/>
        <v>0</v>
      </c>
      <c r="N165" s="43">
        <f t="shared" si="11"/>
        <v>0</v>
      </c>
    </row>
    <row r="166" spans="1:14" ht="15.75" x14ac:dyDescent="0.25">
      <c r="A166">
        <v>622164</v>
      </c>
      <c r="B166" s="20"/>
      <c r="C166" s="21" t="s">
        <v>118</v>
      </c>
      <c r="D166" s="40">
        <v>30</v>
      </c>
      <c r="E166" s="11"/>
      <c r="F166" s="36"/>
      <c r="G166" s="36"/>
      <c r="H166" s="36"/>
      <c r="I166" s="13">
        <f t="shared" si="9"/>
        <v>0</v>
      </c>
      <c r="J166" s="12"/>
      <c r="K166" s="14">
        <f t="shared" si="8"/>
        <v>0</v>
      </c>
      <c r="M166" s="34">
        <f t="shared" si="10"/>
        <v>0</v>
      </c>
      <c r="N166" s="43">
        <f t="shared" si="11"/>
        <v>0</v>
      </c>
    </row>
    <row r="167" spans="1:14" ht="15.75" x14ac:dyDescent="0.25">
      <c r="A167">
        <v>621967</v>
      </c>
      <c r="B167" s="20"/>
      <c r="C167" s="21" t="s">
        <v>118</v>
      </c>
      <c r="D167" s="40">
        <v>90</v>
      </c>
      <c r="E167" s="11">
        <v>7</v>
      </c>
      <c r="F167" s="36">
        <v>1</v>
      </c>
      <c r="G167" s="36"/>
      <c r="H167" s="36">
        <v>1</v>
      </c>
      <c r="I167" s="13">
        <f t="shared" si="9"/>
        <v>9</v>
      </c>
      <c r="J167" s="12"/>
      <c r="K167" s="14">
        <f t="shared" si="8"/>
        <v>9</v>
      </c>
      <c r="L167">
        <v>9</v>
      </c>
      <c r="M167" s="34">
        <f t="shared" si="10"/>
        <v>0</v>
      </c>
      <c r="N167" s="43">
        <f t="shared" si="11"/>
        <v>810</v>
      </c>
    </row>
    <row r="168" spans="1:14" ht="15.75" x14ac:dyDescent="0.25">
      <c r="A168">
        <v>500032</v>
      </c>
      <c r="B168" s="24">
        <v>360</v>
      </c>
      <c r="C168" s="21" t="s">
        <v>104</v>
      </c>
      <c r="D168" s="40">
        <v>47</v>
      </c>
      <c r="E168" s="11">
        <v>37</v>
      </c>
      <c r="F168" s="36">
        <v>11</v>
      </c>
      <c r="G168" s="36">
        <v>3</v>
      </c>
      <c r="H168" s="36">
        <v>20</v>
      </c>
      <c r="I168" s="13">
        <f t="shared" si="9"/>
        <v>71</v>
      </c>
      <c r="J168" s="12"/>
      <c r="K168" s="14">
        <f t="shared" si="8"/>
        <v>71</v>
      </c>
      <c r="L168">
        <v>71</v>
      </c>
      <c r="M168" s="34">
        <f t="shared" si="10"/>
        <v>0</v>
      </c>
      <c r="N168" s="43">
        <f t="shared" si="11"/>
        <v>3337</v>
      </c>
    </row>
    <row r="169" spans="1:14" ht="15.75" x14ac:dyDescent="0.25">
      <c r="A169">
        <v>522459</v>
      </c>
      <c r="B169" s="24">
        <v>360</v>
      </c>
      <c r="C169" s="21" t="s">
        <v>119</v>
      </c>
      <c r="D169" s="40">
        <v>30</v>
      </c>
      <c r="E169" s="11">
        <v>48</v>
      </c>
      <c r="F169" s="36">
        <v>17</v>
      </c>
      <c r="G169" s="36">
        <v>11</v>
      </c>
      <c r="H169" s="36">
        <v>13</v>
      </c>
      <c r="I169" s="13">
        <f t="shared" si="9"/>
        <v>89</v>
      </c>
      <c r="J169" s="12"/>
      <c r="K169" s="14">
        <f t="shared" si="8"/>
        <v>89</v>
      </c>
      <c r="L169">
        <v>93</v>
      </c>
      <c r="M169" s="34">
        <f t="shared" si="10"/>
        <v>4</v>
      </c>
      <c r="N169" s="43">
        <f t="shared" si="11"/>
        <v>2670</v>
      </c>
    </row>
    <row r="170" spans="1:14" ht="15.75" x14ac:dyDescent="0.25">
      <c r="A170">
        <v>522451</v>
      </c>
      <c r="B170" s="24">
        <v>360</v>
      </c>
      <c r="C170" s="21" t="s">
        <v>120</v>
      </c>
      <c r="D170" s="40">
        <v>30</v>
      </c>
      <c r="E170" s="11"/>
      <c r="F170" s="36"/>
      <c r="G170" s="36"/>
      <c r="H170" s="36"/>
      <c r="I170" s="13">
        <f t="shared" si="9"/>
        <v>0</v>
      </c>
      <c r="J170" s="12"/>
      <c r="K170" s="14">
        <f t="shared" si="8"/>
        <v>0</v>
      </c>
      <c r="M170" s="34">
        <f t="shared" si="10"/>
        <v>0</v>
      </c>
      <c r="N170" s="43">
        <f t="shared" si="11"/>
        <v>0</v>
      </c>
    </row>
    <row r="171" spans="1:14" ht="15.75" x14ac:dyDescent="0.25">
      <c r="A171">
        <v>522450</v>
      </c>
      <c r="B171" s="24">
        <v>360</v>
      </c>
      <c r="C171" s="21" t="s">
        <v>121</v>
      </c>
      <c r="D171" s="40">
        <v>30</v>
      </c>
      <c r="E171" s="11"/>
      <c r="F171" s="36"/>
      <c r="G171" s="36">
        <v>6</v>
      </c>
      <c r="H171" s="36"/>
      <c r="I171" s="13">
        <f t="shared" si="9"/>
        <v>6</v>
      </c>
      <c r="J171" s="12"/>
      <c r="K171" s="14">
        <f t="shared" si="8"/>
        <v>6</v>
      </c>
      <c r="L171">
        <v>6</v>
      </c>
      <c r="M171" s="34">
        <f t="shared" si="10"/>
        <v>0</v>
      </c>
      <c r="N171" s="43">
        <f t="shared" si="11"/>
        <v>180</v>
      </c>
    </row>
    <row r="172" spans="1:14" ht="15.75" x14ac:dyDescent="0.25">
      <c r="A172">
        <v>522461</v>
      </c>
      <c r="B172" s="20">
        <v>360</v>
      </c>
      <c r="C172" s="21" t="s">
        <v>122</v>
      </c>
      <c r="D172" s="40">
        <v>30</v>
      </c>
      <c r="E172" s="11"/>
      <c r="F172" s="36"/>
      <c r="G172" s="36"/>
      <c r="H172" s="36"/>
      <c r="I172" s="13">
        <f t="shared" si="9"/>
        <v>0</v>
      </c>
      <c r="J172" s="12"/>
      <c r="K172" s="14">
        <f t="shared" si="8"/>
        <v>0</v>
      </c>
      <c r="M172" s="34">
        <f t="shared" si="10"/>
        <v>0</v>
      </c>
      <c r="N172" s="43">
        <f t="shared" si="11"/>
        <v>0</v>
      </c>
    </row>
    <row r="173" spans="1:14" ht="15.75" x14ac:dyDescent="0.25">
      <c r="A173">
        <v>522463</v>
      </c>
      <c r="B173" s="20">
        <v>360</v>
      </c>
      <c r="C173" s="21" t="s">
        <v>123</v>
      </c>
      <c r="D173" s="40">
        <v>30</v>
      </c>
      <c r="E173" s="11"/>
      <c r="F173" s="36"/>
      <c r="G173" s="36"/>
      <c r="H173" s="36"/>
      <c r="I173" s="13">
        <f t="shared" si="9"/>
        <v>0</v>
      </c>
      <c r="J173" s="12"/>
      <c r="K173" s="14">
        <f t="shared" si="8"/>
        <v>0</v>
      </c>
      <c r="M173" s="34">
        <f t="shared" si="10"/>
        <v>0</v>
      </c>
      <c r="N173" s="43">
        <f t="shared" si="11"/>
        <v>0</v>
      </c>
    </row>
    <row r="174" spans="1:14" ht="15.75" x14ac:dyDescent="0.25">
      <c r="A174">
        <v>522462</v>
      </c>
      <c r="B174" s="22">
        <v>360</v>
      </c>
      <c r="C174" s="23" t="s">
        <v>124</v>
      </c>
      <c r="D174" s="40">
        <v>30</v>
      </c>
      <c r="E174" s="11"/>
      <c r="F174" s="36"/>
      <c r="G174" s="36"/>
      <c r="H174" s="36"/>
      <c r="I174" s="13">
        <f t="shared" si="9"/>
        <v>0</v>
      </c>
      <c r="J174" s="12"/>
      <c r="K174" s="14">
        <f t="shared" si="8"/>
        <v>0</v>
      </c>
      <c r="M174" s="34">
        <f t="shared" si="10"/>
        <v>0</v>
      </c>
      <c r="N174" s="43">
        <f t="shared" si="11"/>
        <v>0</v>
      </c>
    </row>
    <row r="175" spans="1:14" ht="15.75" x14ac:dyDescent="0.25">
      <c r="A175">
        <v>522460</v>
      </c>
      <c r="B175" s="22">
        <v>360</v>
      </c>
      <c r="C175" s="23" t="s">
        <v>125</v>
      </c>
      <c r="D175" s="40">
        <v>30</v>
      </c>
      <c r="E175" s="11"/>
      <c r="F175" s="36"/>
      <c r="G175" s="36"/>
      <c r="H175" s="36"/>
      <c r="I175" s="13">
        <f t="shared" si="9"/>
        <v>0</v>
      </c>
      <c r="J175" s="12"/>
      <c r="K175" s="14">
        <f t="shared" si="8"/>
        <v>0</v>
      </c>
      <c r="M175" s="34">
        <f t="shared" si="10"/>
        <v>0</v>
      </c>
      <c r="N175" s="43">
        <f t="shared" si="11"/>
        <v>0</v>
      </c>
    </row>
    <row r="176" spans="1:14" ht="15.75" x14ac:dyDescent="0.25">
      <c r="A176">
        <v>522921</v>
      </c>
      <c r="B176" s="20">
        <v>600</v>
      </c>
      <c r="C176" s="21" t="s">
        <v>126</v>
      </c>
      <c r="D176" s="40">
        <v>50</v>
      </c>
      <c r="E176" s="11"/>
      <c r="F176" s="36"/>
      <c r="G176" s="36"/>
      <c r="H176" s="36"/>
      <c r="I176" s="13">
        <f t="shared" si="9"/>
        <v>0</v>
      </c>
      <c r="J176" s="12"/>
      <c r="K176" s="14">
        <f t="shared" si="8"/>
        <v>0</v>
      </c>
      <c r="M176" s="34">
        <f t="shared" si="10"/>
        <v>0</v>
      </c>
      <c r="N176" s="43">
        <f t="shared" si="11"/>
        <v>0</v>
      </c>
    </row>
    <row r="177" spans="1:14" ht="15.75" x14ac:dyDescent="0.25">
      <c r="A177">
        <v>522906</v>
      </c>
      <c r="B177" s="24">
        <v>600</v>
      </c>
      <c r="C177" s="21" t="s">
        <v>121</v>
      </c>
      <c r="D177" s="40">
        <v>50</v>
      </c>
      <c r="E177" s="11"/>
      <c r="F177" s="36"/>
      <c r="G177" s="36"/>
      <c r="H177" s="36"/>
      <c r="I177" s="13">
        <f t="shared" si="9"/>
        <v>0</v>
      </c>
      <c r="J177" s="12"/>
      <c r="K177" s="14">
        <f t="shared" si="8"/>
        <v>0</v>
      </c>
      <c r="M177" s="34">
        <f t="shared" si="10"/>
        <v>0</v>
      </c>
      <c r="N177" s="43">
        <f t="shared" si="11"/>
        <v>0</v>
      </c>
    </row>
    <row r="178" spans="1:14" ht="15.75" x14ac:dyDescent="0.25">
      <c r="A178">
        <v>522907</v>
      </c>
      <c r="B178" s="24">
        <v>600</v>
      </c>
      <c r="C178" s="21" t="s">
        <v>120</v>
      </c>
      <c r="D178" s="40">
        <v>50</v>
      </c>
      <c r="E178" s="11"/>
      <c r="F178" s="36"/>
      <c r="G178" s="36"/>
      <c r="H178" s="36"/>
      <c r="I178" s="13">
        <f t="shared" si="9"/>
        <v>0</v>
      </c>
      <c r="J178" s="12"/>
      <c r="K178" s="14">
        <f t="shared" si="8"/>
        <v>0</v>
      </c>
      <c r="M178" s="34">
        <f t="shared" si="10"/>
        <v>0</v>
      </c>
      <c r="N178" s="43">
        <f t="shared" si="11"/>
        <v>0</v>
      </c>
    </row>
    <row r="179" spans="1:14" ht="15.75" x14ac:dyDescent="0.25">
      <c r="A179">
        <v>522499</v>
      </c>
      <c r="B179" s="20">
        <v>625</v>
      </c>
      <c r="C179" s="21" t="s">
        <v>14</v>
      </c>
      <c r="D179" s="40">
        <v>50</v>
      </c>
      <c r="E179" s="11"/>
      <c r="F179" s="36"/>
      <c r="G179" s="36"/>
      <c r="H179" s="36"/>
      <c r="I179" s="13">
        <f t="shared" si="9"/>
        <v>0</v>
      </c>
      <c r="J179" s="12"/>
      <c r="K179" s="14">
        <f t="shared" si="8"/>
        <v>0</v>
      </c>
      <c r="M179" s="34">
        <f t="shared" si="10"/>
        <v>0</v>
      </c>
      <c r="N179" s="43">
        <f t="shared" si="11"/>
        <v>0</v>
      </c>
    </row>
    <row r="180" spans="1:14" ht="15.75" x14ac:dyDescent="0.25">
      <c r="A180">
        <v>522496</v>
      </c>
      <c r="B180" s="20">
        <v>625</v>
      </c>
      <c r="C180" s="21" t="s">
        <v>127</v>
      </c>
      <c r="D180" s="40">
        <v>50</v>
      </c>
      <c r="E180" s="11"/>
      <c r="F180" s="36"/>
      <c r="G180" s="36"/>
      <c r="H180" s="36"/>
      <c r="I180" s="13">
        <f t="shared" si="9"/>
        <v>0</v>
      </c>
      <c r="J180" s="12"/>
      <c r="K180" s="14">
        <f t="shared" si="8"/>
        <v>0</v>
      </c>
      <c r="M180" s="34">
        <f t="shared" si="10"/>
        <v>0</v>
      </c>
      <c r="N180" s="43">
        <f t="shared" si="11"/>
        <v>0</v>
      </c>
    </row>
    <row r="181" spans="1:14" ht="15.75" x14ac:dyDescent="0.25">
      <c r="A181">
        <v>522498</v>
      </c>
      <c r="B181" s="20">
        <v>625</v>
      </c>
      <c r="C181" s="21" t="s">
        <v>128</v>
      </c>
      <c r="D181" s="40">
        <v>50</v>
      </c>
      <c r="E181" s="11"/>
      <c r="F181" s="36"/>
      <c r="G181" s="36"/>
      <c r="H181" s="36"/>
      <c r="I181" s="13">
        <f t="shared" si="9"/>
        <v>0</v>
      </c>
      <c r="J181" s="12"/>
      <c r="K181" s="14">
        <f t="shared" si="8"/>
        <v>0</v>
      </c>
      <c r="M181" s="34">
        <f t="shared" si="10"/>
        <v>0</v>
      </c>
      <c r="N181" s="43">
        <f t="shared" si="11"/>
        <v>0</v>
      </c>
    </row>
    <row r="182" spans="1:14" ht="15.75" x14ac:dyDescent="0.25">
      <c r="A182">
        <v>522497</v>
      </c>
      <c r="B182" s="20">
        <v>625</v>
      </c>
      <c r="C182" s="21" t="s">
        <v>129</v>
      </c>
      <c r="D182" s="40">
        <v>50</v>
      </c>
      <c r="E182" s="11"/>
      <c r="F182" s="36"/>
      <c r="G182" s="36"/>
      <c r="H182" s="36"/>
      <c r="I182" s="13">
        <f t="shared" si="9"/>
        <v>0</v>
      </c>
      <c r="J182" s="12"/>
      <c r="K182" s="14">
        <f t="shared" si="8"/>
        <v>0</v>
      </c>
      <c r="M182" s="34">
        <f t="shared" si="10"/>
        <v>0</v>
      </c>
      <c r="N182" s="43">
        <f t="shared" si="11"/>
        <v>0</v>
      </c>
    </row>
    <row r="183" spans="1:14" ht="15.75" x14ac:dyDescent="0.25">
      <c r="A183">
        <v>523188</v>
      </c>
      <c r="B183" s="20"/>
      <c r="C183" s="21" t="s">
        <v>130</v>
      </c>
      <c r="D183" s="40">
        <v>9.25</v>
      </c>
      <c r="E183" s="11"/>
      <c r="F183" s="36">
        <v>14</v>
      </c>
      <c r="G183" s="36"/>
      <c r="H183" s="36">
        <v>23</v>
      </c>
      <c r="I183" s="13">
        <f t="shared" si="9"/>
        <v>37</v>
      </c>
      <c r="J183" s="12"/>
      <c r="K183" s="14">
        <f t="shared" si="8"/>
        <v>37</v>
      </c>
      <c r="L183">
        <v>37</v>
      </c>
      <c r="M183" s="34">
        <f t="shared" si="10"/>
        <v>0</v>
      </c>
      <c r="N183" s="43">
        <f t="shared" si="11"/>
        <v>342.25</v>
      </c>
    </row>
    <row r="184" spans="1:14" ht="16.5" thickBot="1" x14ac:dyDescent="0.3">
      <c r="B184" s="25"/>
      <c r="C184" s="26"/>
      <c r="D184" s="42"/>
      <c r="E184" s="27"/>
      <c r="F184" s="28"/>
      <c r="G184" s="29"/>
      <c r="H184" s="28"/>
      <c r="I184" s="30"/>
      <c r="J184" s="28"/>
      <c r="K184" s="31"/>
      <c r="N184" s="43">
        <f>SUM(N2:N183)</f>
        <v>48394.35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"/>
  <sheetViews>
    <sheetView workbookViewId="0">
      <selection sqref="A1:XF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7.5703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9" style="43" bestFit="1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5" t="s">
        <v>133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>
        <v>0</v>
      </c>
      <c r="G2" s="36">
        <v>0</v>
      </c>
      <c r="H2" s="36">
        <v>0</v>
      </c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D2*E2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>
        <v>0</v>
      </c>
      <c r="G3" s="36">
        <v>0</v>
      </c>
      <c r="H3" s="36">
        <v>0</v>
      </c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D3*E3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>
        <v>2</v>
      </c>
      <c r="F4" s="36">
        <v>6</v>
      </c>
      <c r="G4" s="36">
        <v>10</v>
      </c>
      <c r="H4" s="36">
        <v>10</v>
      </c>
      <c r="I4" s="13">
        <f t="shared" si="0"/>
        <v>28</v>
      </c>
      <c r="J4" s="12"/>
      <c r="K4" s="14">
        <f t="shared" si="1"/>
        <v>28</v>
      </c>
      <c r="L4">
        <v>28</v>
      </c>
      <c r="M4" s="34">
        <f t="shared" si="2"/>
        <v>0</v>
      </c>
      <c r="N4" s="43">
        <f t="shared" si="3"/>
        <v>112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>
        <v>17</v>
      </c>
      <c r="F5" s="36">
        <v>5</v>
      </c>
      <c r="G5" s="36">
        <v>10</v>
      </c>
      <c r="H5" s="36">
        <v>10</v>
      </c>
      <c r="I5" s="13">
        <f t="shared" si="0"/>
        <v>42</v>
      </c>
      <c r="J5" s="12"/>
      <c r="K5" s="14">
        <f t="shared" si="1"/>
        <v>42</v>
      </c>
      <c r="L5">
        <v>42</v>
      </c>
      <c r="M5" s="34">
        <f t="shared" si="2"/>
        <v>0</v>
      </c>
      <c r="N5" s="43">
        <f t="shared" si="3"/>
        <v>952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192</v>
      </c>
      <c r="F6" s="36">
        <v>37</v>
      </c>
      <c r="G6" s="36">
        <v>40</v>
      </c>
      <c r="H6" s="36">
        <v>5</v>
      </c>
      <c r="I6" s="13">
        <f t="shared" si="0"/>
        <v>274</v>
      </c>
      <c r="J6" s="12"/>
      <c r="K6" s="14">
        <f t="shared" si="1"/>
        <v>274</v>
      </c>
      <c r="L6">
        <v>274</v>
      </c>
      <c r="M6" s="34">
        <f t="shared" si="2"/>
        <v>0</v>
      </c>
      <c r="N6" s="43">
        <f t="shared" si="3"/>
        <v>11712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>
        <v>4</v>
      </c>
      <c r="F7" s="36">
        <v>0</v>
      </c>
      <c r="G7" s="36">
        <v>0</v>
      </c>
      <c r="H7" s="36">
        <v>1</v>
      </c>
      <c r="I7" s="13">
        <f t="shared" si="0"/>
        <v>5</v>
      </c>
      <c r="J7" s="12"/>
      <c r="K7" s="14">
        <f t="shared" si="1"/>
        <v>5</v>
      </c>
      <c r="L7">
        <v>5</v>
      </c>
      <c r="M7" s="34">
        <f t="shared" si="2"/>
        <v>0</v>
      </c>
      <c r="N7" s="43">
        <f t="shared" si="3"/>
        <v>244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/>
      <c r="F8" s="36">
        <v>0</v>
      </c>
      <c r="G8" s="36">
        <v>0</v>
      </c>
      <c r="H8" s="36">
        <v>0</v>
      </c>
      <c r="I8" s="13">
        <f t="shared" si="0"/>
        <v>0</v>
      </c>
      <c r="J8" s="12"/>
      <c r="K8" s="14">
        <f t="shared" si="1"/>
        <v>0</v>
      </c>
      <c r="M8" s="34">
        <f t="shared" si="2"/>
        <v>0</v>
      </c>
      <c r="N8" s="43">
        <f t="shared" si="3"/>
        <v>0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/>
      <c r="F9" s="36">
        <v>0</v>
      </c>
      <c r="G9" s="36">
        <v>0</v>
      </c>
      <c r="H9" s="36">
        <v>0</v>
      </c>
      <c r="I9" s="13">
        <f t="shared" si="0"/>
        <v>0</v>
      </c>
      <c r="J9" s="12"/>
      <c r="K9" s="14">
        <f t="shared" si="1"/>
        <v>0</v>
      </c>
      <c r="M9" s="34">
        <f t="shared" si="2"/>
        <v>0</v>
      </c>
      <c r="N9" s="43">
        <f t="shared" si="3"/>
        <v>0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>
        <v>0</v>
      </c>
      <c r="G10" s="36">
        <v>0</v>
      </c>
      <c r="H10" s="36">
        <v>0</v>
      </c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>
        <v>0</v>
      </c>
      <c r="G11" s="36">
        <v>0</v>
      </c>
      <c r="H11" s="36">
        <v>0</v>
      </c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>
        <v>0</v>
      </c>
      <c r="G12" s="36">
        <v>0</v>
      </c>
      <c r="H12" s="36">
        <v>0</v>
      </c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>
        <v>0</v>
      </c>
      <c r="G13" s="36">
        <v>0</v>
      </c>
      <c r="H13" s="36">
        <v>0</v>
      </c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>
        <v>0</v>
      </c>
      <c r="G14" s="36">
        <v>0</v>
      </c>
      <c r="H14" s="36">
        <v>0</v>
      </c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.75" x14ac:dyDescent="0.25">
      <c r="B15" s="9">
        <v>1800</v>
      </c>
      <c r="C15" s="10" t="s">
        <v>21</v>
      </c>
      <c r="D15" s="40">
        <v>38</v>
      </c>
      <c r="E15" s="11"/>
      <c r="F15" s="36">
        <v>0</v>
      </c>
      <c r="G15" s="36">
        <v>0</v>
      </c>
      <c r="H15" s="36">
        <v>0</v>
      </c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>
        <v>123</v>
      </c>
      <c r="F16" s="36">
        <v>25</v>
      </c>
      <c r="G16" s="36">
        <v>4</v>
      </c>
      <c r="H16" s="36">
        <v>27</v>
      </c>
      <c r="I16" s="13">
        <f t="shared" si="0"/>
        <v>179</v>
      </c>
      <c r="J16" s="12"/>
      <c r="K16" s="14">
        <f t="shared" si="1"/>
        <v>179</v>
      </c>
      <c r="L16">
        <v>179</v>
      </c>
      <c r="M16" s="34">
        <f t="shared" si="2"/>
        <v>0</v>
      </c>
      <c r="N16" s="43">
        <f t="shared" si="3"/>
        <v>5043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>
        <v>0</v>
      </c>
      <c r="G17" s="36">
        <v>0</v>
      </c>
      <c r="H17" s="36">
        <v>0</v>
      </c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>
        <v>0</v>
      </c>
      <c r="G18" s="36">
        <v>0</v>
      </c>
      <c r="H18" s="36">
        <v>0</v>
      </c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>
        <v>45</v>
      </c>
      <c r="F19" s="36">
        <v>10</v>
      </c>
      <c r="G19" s="36">
        <v>10</v>
      </c>
      <c r="H19" s="36">
        <v>10</v>
      </c>
      <c r="I19" s="13">
        <f t="shared" si="0"/>
        <v>75</v>
      </c>
      <c r="J19" s="12"/>
      <c r="K19" s="14">
        <f t="shared" si="1"/>
        <v>75</v>
      </c>
      <c r="L19">
        <v>75</v>
      </c>
      <c r="M19" s="34">
        <f t="shared" si="2"/>
        <v>0</v>
      </c>
      <c r="N19" s="43">
        <f t="shared" si="3"/>
        <v>1845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>
        <v>72</v>
      </c>
      <c r="F20" s="36">
        <v>10</v>
      </c>
      <c r="G20" s="36">
        <v>5</v>
      </c>
      <c r="H20" s="36">
        <v>10</v>
      </c>
      <c r="I20" s="13">
        <f t="shared" si="0"/>
        <v>97</v>
      </c>
      <c r="J20" s="12"/>
      <c r="K20" s="14">
        <f t="shared" si="1"/>
        <v>97</v>
      </c>
      <c r="L20">
        <v>92</v>
      </c>
      <c r="M20" s="34">
        <f t="shared" si="2"/>
        <v>-5</v>
      </c>
      <c r="N20" s="43">
        <f t="shared" si="3"/>
        <v>2952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>
        <v>0</v>
      </c>
      <c r="G21" s="36">
        <v>0</v>
      </c>
      <c r="H21" s="36">
        <v>0</v>
      </c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>
        <v>0</v>
      </c>
      <c r="G22" s="36">
        <v>0</v>
      </c>
      <c r="H22" s="36">
        <v>0</v>
      </c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>
        <v>0</v>
      </c>
      <c r="G23" s="36">
        <v>0</v>
      </c>
      <c r="H23" s="36">
        <v>0</v>
      </c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173</v>
      </c>
      <c r="F24" s="36">
        <v>15</v>
      </c>
      <c r="G24" s="36">
        <v>5</v>
      </c>
      <c r="H24" s="36">
        <v>9</v>
      </c>
      <c r="I24" s="13">
        <f t="shared" si="0"/>
        <v>202</v>
      </c>
      <c r="J24" s="12"/>
      <c r="K24" s="14">
        <f t="shared" si="1"/>
        <v>202</v>
      </c>
      <c r="L24">
        <v>202</v>
      </c>
      <c r="M24" s="34">
        <f t="shared" si="2"/>
        <v>0</v>
      </c>
      <c r="N24" s="43">
        <f t="shared" si="3"/>
        <v>6055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>
        <v>0</v>
      </c>
      <c r="G25" s="36">
        <v>0</v>
      </c>
      <c r="H25" s="36">
        <v>0</v>
      </c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>
        <v>0</v>
      </c>
      <c r="G26" s="36">
        <v>0</v>
      </c>
      <c r="H26" s="36">
        <v>0</v>
      </c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>
        <v>61</v>
      </c>
      <c r="F27" s="36">
        <v>10</v>
      </c>
      <c r="G27" s="36">
        <v>10</v>
      </c>
      <c r="H27" s="36">
        <v>10</v>
      </c>
      <c r="I27" s="13">
        <f t="shared" si="0"/>
        <v>91</v>
      </c>
      <c r="J27" s="12"/>
      <c r="K27" s="14">
        <f t="shared" si="1"/>
        <v>91</v>
      </c>
      <c r="L27">
        <v>91</v>
      </c>
      <c r="M27" s="34">
        <f t="shared" si="2"/>
        <v>0</v>
      </c>
      <c r="N27" s="43">
        <f t="shared" si="3"/>
        <v>2714.5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>
        <v>0</v>
      </c>
      <c r="G28" s="36">
        <v>0</v>
      </c>
      <c r="H28" s="36">
        <v>0</v>
      </c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>
        <v>0</v>
      </c>
      <c r="G29" s="36">
        <v>0</v>
      </c>
      <c r="H29" s="36">
        <v>0</v>
      </c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>
        <v>0</v>
      </c>
      <c r="G30" s="36">
        <v>0</v>
      </c>
      <c r="H30" s="36">
        <v>0</v>
      </c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>
        <v>0</v>
      </c>
      <c r="G31" s="36">
        <v>0</v>
      </c>
      <c r="H31" s="36">
        <v>0</v>
      </c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>
        <v>0</v>
      </c>
      <c r="G32" s="36">
        <v>0</v>
      </c>
      <c r="H32" s="36">
        <v>0</v>
      </c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>
        <v>100</v>
      </c>
      <c r="F33" s="36">
        <v>10</v>
      </c>
      <c r="G33" s="36">
        <v>0</v>
      </c>
      <c r="H33" s="36">
        <v>10</v>
      </c>
      <c r="I33" s="13">
        <f t="shared" si="0"/>
        <v>120</v>
      </c>
      <c r="J33" s="12"/>
      <c r="K33" s="14">
        <f t="shared" si="1"/>
        <v>120</v>
      </c>
      <c r="L33">
        <v>120</v>
      </c>
      <c r="M33" s="34">
        <f t="shared" si="2"/>
        <v>0</v>
      </c>
      <c r="N33" s="43">
        <f t="shared" si="3"/>
        <v>2350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>
        <v>0</v>
      </c>
      <c r="G34" s="36">
        <v>0</v>
      </c>
      <c r="H34" s="36">
        <v>0</v>
      </c>
      <c r="I34" s="13">
        <f t="shared" si="0"/>
        <v>0</v>
      </c>
      <c r="J34" s="12"/>
      <c r="K34" s="14">
        <f t="shared" si="1"/>
        <v>0</v>
      </c>
      <c r="M34" s="34">
        <f t="shared" si="2"/>
        <v>0</v>
      </c>
      <c r="N34" s="43">
        <f t="shared" si="3"/>
        <v>0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>
        <v>0</v>
      </c>
      <c r="G35" s="36">
        <v>0</v>
      </c>
      <c r="H35" s="36">
        <v>0</v>
      </c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/>
      <c r="F36" s="36">
        <v>0</v>
      </c>
      <c r="G36" s="36">
        <v>0</v>
      </c>
      <c r="H36" s="36">
        <v>0</v>
      </c>
      <c r="I36" s="13">
        <f t="shared" si="0"/>
        <v>0</v>
      </c>
      <c r="J36" s="12"/>
      <c r="K36" s="14">
        <f t="shared" si="1"/>
        <v>0</v>
      </c>
      <c r="L36">
        <v>1</v>
      </c>
      <c r="M36" s="34">
        <f t="shared" si="2"/>
        <v>1</v>
      </c>
      <c r="N36" s="43">
        <f t="shared" si="3"/>
        <v>0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>
        <v>4</v>
      </c>
      <c r="F37" s="36">
        <v>15</v>
      </c>
      <c r="G37" s="36">
        <v>11</v>
      </c>
      <c r="H37" s="36">
        <v>25</v>
      </c>
      <c r="I37" s="13">
        <f t="shared" si="0"/>
        <v>55</v>
      </c>
      <c r="J37" s="12"/>
      <c r="K37" s="14">
        <f t="shared" si="1"/>
        <v>55</v>
      </c>
      <c r="L37">
        <v>55</v>
      </c>
      <c r="M37" s="34">
        <f t="shared" si="2"/>
        <v>0</v>
      </c>
      <c r="N37" s="43">
        <f t="shared" si="3"/>
        <v>100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>
        <v>0</v>
      </c>
      <c r="G38" s="36">
        <v>0</v>
      </c>
      <c r="H38" s="36">
        <v>0</v>
      </c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>
        <v>0</v>
      </c>
      <c r="G39" s="36">
        <v>0</v>
      </c>
      <c r="H39" s="36">
        <v>0</v>
      </c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>
        <v>0</v>
      </c>
      <c r="G40" s="36">
        <v>0</v>
      </c>
      <c r="H40" s="36">
        <v>0</v>
      </c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>
        <v>0</v>
      </c>
      <c r="G41" s="36">
        <v>0</v>
      </c>
      <c r="H41" s="36">
        <v>0</v>
      </c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>
        <v>0</v>
      </c>
      <c r="G42" s="36">
        <v>0</v>
      </c>
      <c r="H42" s="36">
        <v>0</v>
      </c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>
        <v>5</v>
      </c>
      <c r="F43" s="36">
        <v>6</v>
      </c>
      <c r="G43" s="36">
        <v>1</v>
      </c>
      <c r="H43" s="36">
        <v>2</v>
      </c>
      <c r="I43" s="13">
        <f t="shared" si="0"/>
        <v>14</v>
      </c>
      <c r="J43" s="12"/>
      <c r="K43" s="14">
        <f t="shared" si="1"/>
        <v>14</v>
      </c>
      <c r="L43">
        <v>14</v>
      </c>
      <c r="M43" s="34">
        <f t="shared" si="2"/>
        <v>0</v>
      </c>
      <c r="N43" s="43">
        <f t="shared" si="3"/>
        <v>150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>
        <v>0</v>
      </c>
      <c r="G44" s="36">
        <v>0</v>
      </c>
      <c r="H44" s="36">
        <v>0</v>
      </c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>
        <v>0</v>
      </c>
      <c r="G45" s="36">
        <v>0</v>
      </c>
      <c r="H45" s="36">
        <v>0</v>
      </c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>
        <v>0</v>
      </c>
      <c r="G46" s="36">
        <v>0</v>
      </c>
      <c r="H46" s="36">
        <v>0</v>
      </c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>
        <v>0</v>
      </c>
      <c r="G47" s="36">
        <v>0</v>
      </c>
      <c r="H47" s="36">
        <v>0</v>
      </c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>
        <v>0</v>
      </c>
      <c r="G48" s="36">
        <v>0</v>
      </c>
      <c r="H48" s="36">
        <v>0</v>
      </c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>
        <v>0</v>
      </c>
      <c r="G49" s="36">
        <v>0</v>
      </c>
      <c r="H49" s="36">
        <v>0</v>
      </c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>
        <v>0</v>
      </c>
      <c r="G50" s="36">
        <v>0</v>
      </c>
      <c r="H50" s="36">
        <v>0</v>
      </c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59</v>
      </c>
      <c r="F51" s="36">
        <v>5</v>
      </c>
      <c r="G51" s="36">
        <v>8</v>
      </c>
      <c r="H51" s="36">
        <v>13</v>
      </c>
      <c r="I51" s="13">
        <f t="shared" si="0"/>
        <v>85</v>
      </c>
      <c r="J51" s="12"/>
      <c r="K51" s="14">
        <f t="shared" si="1"/>
        <v>85</v>
      </c>
      <c r="L51">
        <v>85</v>
      </c>
      <c r="M51" s="34">
        <f t="shared" si="2"/>
        <v>0</v>
      </c>
      <c r="N51" s="43">
        <f t="shared" si="3"/>
        <v>1770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>
        <v>0</v>
      </c>
      <c r="G52" s="36">
        <v>0</v>
      </c>
      <c r="H52" s="36">
        <v>0</v>
      </c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>
        <v>42</v>
      </c>
      <c r="F53" s="36">
        <v>1</v>
      </c>
      <c r="G53" s="36">
        <v>60</v>
      </c>
      <c r="H53" s="36">
        <v>15</v>
      </c>
      <c r="I53" s="13">
        <f t="shared" si="0"/>
        <v>118</v>
      </c>
      <c r="J53" s="12"/>
      <c r="K53" s="14">
        <f>I53-J53</f>
        <v>118</v>
      </c>
      <c r="L53">
        <v>118</v>
      </c>
      <c r="M53" s="34">
        <f t="shared" si="2"/>
        <v>0</v>
      </c>
      <c r="N53" s="43">
        <f t="shared" si="3"/>
        <v>1680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>
        <v>29</v>
      </c>
      <c r="F54" s="36">
        <v>0</v>
      </c>
      <c r="G54" s="36">
        <v>60</v>
      </c>
      <c r="H54" s="36">
        <v>7</v>
      </c>
      <c r="I54" s="13">
        <f t="shared" si="0"/>
        <v>96</v>
      </c>
      <c r="J54" s="12"/>
      <c r="K54" s="14">
        <f t="shared" si="1"/>
        <v>96</v>
      </c>
      <c r="L54">
        <v>96</v>
      </c>
      <c r="M54" s="34">
        <f t="shared" si="2"/>
        <v>0</v>
      </c>
      <c r="N54" s="43">
        <f t="shared" si="3"/>
        <v>754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>
        <v>0</v>
      </c>
      <c r="G55" s="36">
        <v>0</v>
      </c>
      <c r="H55" s="36">
        <v>0</v>
      </c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>
        <v>0</v>
      </c>
      <c r="G56" s="36">
        <v>0</v>
      </c>
      <c r="H56" s="36">
        <v>0</v>
      </c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3</v>
      </c>
      <c r="F57" s="36">
        <v>29</v>
      </c>
      <c r="G57" s="36">
        <v>10</v>
      </c>
      <c r="H57" s="36">
        <v>20</v>
      </c>
      <c r="I57" s="13">
        <f t="shared" si="0"/>
        <v>62</v>
      </c>
      <c r="J57" s="12"/>
      <c r="K57" s="14">
        <f>I57-J57</f>
        <v>62</v>
      </c>
      <c r="L57">
        <v>62</v>
      </c>
      <c r="M57" s="34">
        <f t="shared" si="2"/>
        <v>0</v>
      </c>
      <c r="N57" s="43">
        <f t="shared" si="3"/>
        <v>93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>
        <v>0</v>
      </c>
      <c r="G58" s="36">
        <v>0</v>
      </c>
      <c r="H58" s="36">
        <v>0</v>
      </c>
      <c r="I58" s="13">
        <f t="shared" si="0"/>
        <v>0</v>
      </c>
      <c r="J58" s="12"/>
      <c r="K58" s="14">
        <f t="shared" ref="K58:K121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/>
      <c r="F59" s="36">
        <v>0</v>
      </c>
      <c r="G59" s="36">
        <v>0</v>
      </c>
      <c r="H59" s="36">
        <v>0</v>
      </c>
      <c r="I59" s="13">
        <f t="shared" si="0"/>
        <v>0</v>
      </c>
      <c r="J59" s="12"/>
      <c r="K59" s="14">
        <f t="shared" si="4"/>
        <v>0</v>
      </c>
      <c r="M59" s="34">
        <f t="shared" si="2"/>
        <v>0</v>
      </c>
      <c r="N59" s="43">
        <f t="shared" si="3"/>
        <v>0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>
        <v>1</v>
      </c>
      <c r="F60" s="36">
        <v>0</v>
      </c>
      <c r="G60" s="36">
        <v>0</v>
      </c>
      <c r="H60" s="36">
        <v>0</v>
      </c>
      <c r="I60" s="13">
        <f t="shared" si="0"/>
        <v>1</v>
      </c>
      <c r="J60" s="12"/>
      <c r="K60" s="14">
        <f t="shared" si="4"/>
        <v>1</v>
      </c>
      <c r="L60">
        <v>1</v>
      </c>
      <c r="M60" s="34">
        <f t="shared" si="2"/>
        <v>0</v>
      </c>
      <c r="N60" s="43">
        <f t="shared" si="3"/>
        <v>15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>
        <v>0</v>
      </c>
      <c r="G61" s="36">
        <v>0</v>
      </c>
      <c r="H61" s="36">
        <v>0</v>
      </c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>
        <v>0</v>
      </c>
      <c r="G62" s="36">
        <v>0</v>
      </c>
      <c r="H62" s="36">
        <v>0</v>
      </c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>
        <v>0</v>
      </c>
      <c r="G63" s="36">
        <v>0</v>
      </c>
      <c r="H63" s="36">
        <v>0</v>
      </c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>
        <v>0</v>
      </c>
      <c r="G64" s="36">
        <v>0</v>
      </c>
      <c r="H64" s="36">
        <v>0</v>
      </c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>
        <v>0</v>
      </c>
      <c r="G65" s="36">
        <v>0</v>
      </c>
      <c r="H65" s="36">
        <v>0</v>
      </c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>
        <v>0</v>
      </c>
      <c r="G66" s="36">
        <v>0</v>
      </c>
      <c r="H66" s="36">
        <v>0</v>
      </c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>
        <v>0</v>
      </c>
      <c r="G67" s="36">
        <v>0</v>
      </c>
      <c r="H67" s="36">
        <v>0</v>
      </c>
      <c r="I67" s="13">
        <f t="shared" ref="I67:I130" si="5">E67+F67+G67+H67</f>
        <v>0</v>
      </c>
      <c r="J67" s="12"/>
      <c r="K67" s="14">
        <f t="shared" si="4"/>
        <v>0</v>
      </c>
      <c r="M67" s="34">
        <f t="shared" ref="M67:M130" si="6">L67-I67</f>
        <v>0</v>
      </c>
      <c r="N67" s="43">
        <f t="shared" ref="N67:N130" si="7">D67*E67</f>
        <v>0</v>
      </c>
    </row>
    <row r="68" spans="1:14" ht="15.75" x14ac:dyDescent="0.25">
      <c r="A68">
        <v>598822</v>
      </c>
      <c r="B68" s="9">
        <v>250</v>
      </c>
      <c r="C68" s="10" t="s">
        <v>61</v>
      </c>
      <c r="D68" s="40">
        <v>25</v>
      </c>
      <c r="E68" s="11"/>
      <c r="F68" s="36">
        <v>0</v>
      </c>
      <c r="G68" s="36">
        <v>0</v>
      </c>
      <c r="H68" s="36">
        <v>0</v>
      </c>
      <c r="I68" s="13">
        <f t="shared" si="5"/>
        <v>0</v>
      </c>
      <c r="J68" s="12"/>
      <c r="K68" s="14">
        <f t="shared" si="4"/>
        <v>0</v>
      </c>
      <c r="M68" s="34">
        <f t="shared" si="6"/>
        <v>0</v>
      </c>
      <c r="N68" s="43">
        <f t="shared" si="7"/>
        <v>0</v>
      </c>
    </row>
    <row r="69" spans="1:14" ht="15.75" x14ac:dyDescent="0.25">
      <c r="A69">
        <v>598823</v>
      </c>
      <c r="B69" s="9">
        <v>250</v>
      </c>
      <c r="C69" s="10" t="s">
        <v>62</v>
      </c>
      <c r="D69" s="40">
        <v>25</v>
      </c>
      <c r="E69" s="11"/>
      <c r="F69" s="36">
        <v>0</v>
      </c>
      <c r="G69" s="36">
        <v>0</v>
      </c>
      <c r="H69" s="36">
        <v>0</v>
      </c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B70" s="9">
        <v>250</v>
      </c>
      <c r="C70" s="10" t="s">
        <v>54</v>
      </c>
      <c r="D70" s="40">
        <v>25</v>
      </c>
      <c r="E70" s="11"/>
      <c r="F70" s="36">
        <v>0</v>
      </c>
      <c r="G70" s="36">
        <v>0</v>
      </c>
      <c r="H70" s="36">
        <v>0</v>
      </c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55</v>
      </c>
      <c r="D71" s="40">
        <v>25</v>
      </c>
      <c r="E71" s="11"/>
      <c r="F71" s="36">
        <v>0</v>
      </c>
      <c r="G71" s="36">
        <v>0</v>
      </c>
      <c r="H71" s="36">
        <v>0</v>
      </c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56</v>
      </c>
      <c r="D72" s="40">
        <v>25</v>
      </c>
      <c r="E72" s="11"/>
      <c r="F72" s="36">
        <v>0</v>
      </c>
      <c r="G72" s="36">
        <v>0</v>
      </c>
      <c r="H72" s="36">
        <v>0</v>
      </c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1000</v>
      </c>
      <c r="C73" s="10" t="s">
        <v>52</v>
      </c>
      <c r="D73" s="40">
        <v>35</v>
      </c>
      <c r="E73" s="11"/>
      <c r="F73" s="36">
        <v>0</v>
      </c>
      <c r="G73" s="36">
        <v>0</v>
      </c>
      <c r="H73" s="36">
        <v>0</v>
      </c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53</v>
      </c>
      <c r="D74" s="40">
        <v>35</v>
      </c>
      <c r="E74" s="11"/>
      <c r="F74" s="36">
        <v>0</v>
      </c>
      <c r="G74" s="36">
        <v>0</v>
      </c>
      <c r="H74" s="36">
        <v>0</v>
      </c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54</v>
      </c>
      <c r="D75" s="40">
        <v>35</v>
      </c>
      <c r="E75" s="11"/>
      <c r="F75" s="36">
        <v>0</v>
      </c>
      <c r="G75" s="36">
        <v>0</v>
      </c>
      <c r="H75" s="36">
        <v>0</v>
      </c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55</v>
      </c>
      <c r="D76" s="40">
        <v>35</v>
      </c>
      <c r="E76" s="11"/>
      <c r="F76" s="36">
        <v>0</v>
      </c>
      <c r="G76" s="36">
        <v>0</v>
      </c>
      <c r="H76" s="36">
        <v>0</v>
      </c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56</v>
      </c>
      <c r="D77" s="40">
        <v>35</v>
      </c>
      <c r="E77" s="11"/>
      <c r="F77" s="36">
        <v>0</v>
      </c>
      <c r="G77" s="36">
        <v>0</v>
      </c>
      <c r="H77" s="36">
        <v>0</v>
      </c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A78">
        <v>599461</v>
      </c>
      <c r="B78" s="18">
        <v>145</v>
      </c>
      <c r="C78" s="10" t="s">
        <v>63</v>
      </c>
      <c r="D78" s="40">
        <v>15</v>
      </c>
      <c r="E78" s="11"/>
      <c r="F78" s="36">
        <v>0</v>
      </c>
      <c r="G78" s="36">
        <v>0</v>
      </c>
      <c r="H78" s="36">
        <v>0</v>
      </c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B79" s="9">
        <v>145</v>
      </c>
      <c r="C79" s="10" t="s">
        <v>64</v>
      </c>
      <c r="D79" s="40">
        <v>15</v>
      </c>
      <c r="E79" s="11"/>
      <c r="F79" s="36">
        <v>0</v>
      </c>
      <c r="G79" s="36">
        <v>0</v>
      </c>
      <c r="H79" s="36">
        <v>0</v>
      </c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65</v>
      </c>
      <c r="D80" s="40">
        <v>15</v>
      </c>
      <c r="E80" s="11"/>
      <c r="F80" s="36">
        <v>0</v>
      </c>
      <c r="G80" s="36">
        <v>0</v>
      </c>
      <c r="H80" s="36">
        <v>0</v>
      </c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A81">
        <v>522287</v>
      </c>
      <c r="B81" s="9">
        <v>360</v>
      </c>
      <c r="C81" s="10" t="s">
        <v>66</v>
      </c>
      <c r="D81" s="40">
        <v>20</v>
      </c>
      <c r="E81" s="11"/>
      <c r="F81" s="36">
        <v>0</v>
      </c>
      <c r="G81" s="36">
        <v>0</v>
      </c>
      <c r="H81" s="36">
        <v>0</v>
      </c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522286</v>
      </c>
      <c r="B82" s="18">
        <v>360</v>
      </c>
      <c r="C82" s="10" t="s">
        <v>67</v>
      </c>
      <c r="D82" s="40">
        <v>20</v>
      </c>
      <c r="E82" s="11"/>
      <c r="F82" s="36">
        <v>0</v>
      </c>
      <c r="G82" s="36">
        <v>0</v>
      </c>
      <c r="H82" s="36">
        <v>0</v>
      </c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522278</v>
      </c>
      <c r="B83" s="18">
        <v>360</v>
      </c>
      <c r="C83" s="10" t="s">
        <v>68</v>
      </c>
      <c r="D83" s="40">
        <v>20</v>
      </c>
      <c r="E83" s="11"/>
      <c r="F83" s="36">
        <v>0</v>
      </c>
      <c r="G83" s="36">
        <v>0</v>
      </c>
      <c r="H83" s="36">
        <v>0</v>
      </c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B84" s="9">
        <v>360</v>
      </c>
      <c r="C84" s="10" t="s">
        <v>69</v>
      </c>
      <c r="D84" s="40">
        <v>20</v>
      </c>
      <c r="E84" s="11"/>
      <c r="F84" s="36">
        <v>0</v>
      </c>
      <c r="G84" s="36">
        <v>0</v>
      </c>
      <c r="H84" s="36">
        <v>0</v>
      </c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70</v>
      </c>
      <c r="D85" s="40">
        <v>20</v>
      </c>
      <c r="E85" s="11"/>
      <c r="F85" s="36">
        <v>0</v>
      </c>
      <c r="G85" s="36">
        <v>0</v>
      </c>
      <c r="H85" s="36">
        <v>0</v>
      </c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71</v>
      </c>
      <c r="D86" s="40">
        <v>20</v>
      </c>
      <c r="E86" s="11"/>
      <c r="F86" s="36">
        <v>0</v>
      </c>
      <c r="G86" s="36">
        <v>0</v>
      </c>
      <c r="H86" s="36">
        <v>0</v>
      </c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72</v>
      </c>
      <c r="D87" s="40">
        <v>20</v>
      </c>
      <c r="E87" s="11"/>
      <c r="F87" s="36">
        <v>0</v>
      </c>
      <c r="G87" s="36">
        <v>0</v>
      </c>
      <c r="H87" s="36">
        <v>0</v>
      </c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A88">
        <v>522501</v>
      </c>
      <c r="B88" s="9">
        <v>625</v>
      </c>
      <c r="C88" s="10" t="s">
        <v>66</v>
      </c>
      <c r="D88" s="40">
        <v>50</v>
      </c>
      <c r="E88" s="11">
        <v>27</v>
      </c>
      <c r="F88" s="36">
        <v>29</v>
      </c>
      <c r="G88" s="36">
        <v>30</v>
      </c>
      <c r="H88" s="36">
        <v>30</v>
      </c>
      <c r="I88" s="13">
        <f t="shared" si="5"/>
        <v>116</v>
      </c>
      <c r="J88" s="12"/>
      <c r="K88" s="14">
        <f>I88-J88</f>
        <v>116</v>
      </c>
      <c r="L88">
        <v>116</v>
      </c>
      <c r="M88" s="34">
        <f t="shared" si="6"/>
        <v>0</v>
      </c>
      <c r="N88" s="43">
        <f t="shared" si="7"/>
        <v>1350</v>
      </c>
    </row>
    <row r="89" spans="1:14" ht="15.75" x14ac:dyDescent="0.25">
      <c r="A89">
        <v>522502</v>
      </c>
      <c r="B89" s="9">
        <v>625</v>
      </c>
      <c r="C89" s="10" t="s">
        <v>68</v>
      </c>
      <c r="D89" s="40">
        <v>50</v>
      </c>
      <c r="E89" s="11">
        <v>57</v>
      </c>
      <c r="F89" s="36">
        <v>30</v>
      </c>
      <c r="G89" s="36">
        <v>40</v>
      </c>
      <c r="H89" s="36">
        <v>31</v>
      </c>
      <c r="I89" s="13">
        <f t="shared" si="5"/>
        <v>158</v>
      </c>
      <c r="J89" s="12"/>
      <c r="K89" s="14">
        <f t="shared" si="4"/>
        <v>158</v>
      </c>
      <c r="L89">
        <v>158</v>
      </c>
      <c r="M89" s="34">
        <f t="shared" si="6"/>
        <v>0</v>
      </c>
      <c r="N89" s="43">
        <f t="shared" si="7"/>
        <v>2850</v>
      </c>
    </row>
    <row r="90" spans="1:14" ht="15.75" x14ac:dyDescent="0.25">
      <c r="A90">
        <v>522500</v>
      </c>
      <c r="B90" s="9">
        <v>625</v>
      </c>
      <c r="C90" s="10" t="s">
        <v>67</v>
      </c>
      <c r="D90" s="40">
        <v>50</v>
      </c>
      <c r="E90" s="11">
        <v>158</v>
      </c>
      <c r="F90" s="36">
        <v>31</v>
      </c>
      <c r="G90" s="36">
        <v>40</v>
      </c>
      <c r="H90" s="36">
        <v>30</v>
      </c>
      <c r="I90" s="13">
        <f t="shared" si="5"/>
        <v>259</v>
      </c>
      <c r="J90" s="12"/>
      <c r="K90" s="14">
        <f t="shared" si="4"/>
        <v>259</v>
      </c>
      <c r="L90">
        <v>259</v>
      </c>
      <c r="M90" s="34">
        <f t="shared" si="6"/>
        <v>0</v>
      </c>
      <c r="N90" s="43">
        <f t="shared" si="7"/>
        <v>7900</v>
      </c>
    </row>
    <row r="91" spans="1:14" ht="15.75" x14ac:dyDescent="0.25">
      <c r="A91">
        <v>522499</v>
      </c>
      <c r="B91" s="9">
        <v>625</v>
      </c>
      <c r="C91" s="10" t="s">
        <v>73</v>
      </c>
      <c r="D91" s="40">
        <v>50</v>
      </c>
      <c r="E91" s="11"/>
      <c r="F91" s="36">
        <v>0</v>
      </c>
      <c r="G91" s="36">
        <v>0</v>
      </c>
      <c r="H91" s="36">
        <v>0</v>
      </c>
      <c r="I91" s="13">
        <f t="shared" si="5"/>
        <v>0</v>
      </c>
      <c r="J91" s="12"/>
      <c r="K91" s="14">
        <f t="shared" si="4"/>
        <v>0</v>
      </c>
      <c r="M91" s="34">
        <f t="shared" si="6"/>
        <v>0</v>
      </c>
      <c r="N91" s="43">
        <f t="shared" si="7"/>
        <v>0</v>
      </c>
    </row>
    <row r="92" spans="1:14" ht="15.75" x14ac:dyDescent="0.25">
      <c r="B92" s="9">
        <v>625</v>
      </c>
      <c r="C92" s="10" t="s">
        <v>70</v>
      </c>
      <c r="D92" s="40">
        <v>50</v>
      </c>
      <c r="E92" s="11"/>
      <c r="F92" s="36">
        <v>0</v>
      </c>
      <c r="G92" s="36">
        <v>0</v>
      </c>
      <c r="H92" s="36">
        <v>0</v>
      </c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A93">
        <v>522496</v>
      </c>
      <c r="B93" s="9">
        <v>625</v>
      </c>
      <c r="C93" s="10" t="s">
        <v>71</v>
      </c>
      <c r="D93" s="40">
        <v>50</v>
      </c>
      <c r="E93" s="11">
        <v>14</v>
      </c>
      <c r="F93" s="36">
        <v>16</v>
      </c>
      <c r="G93" s="36">
        <v>17</v>
      </c>
      <c r="H93" s="36">
        <v>23</v>
      </c>
      <c r="I93" s="13">
        <f t="shared" si="5"/>
        <v>70</v>
      </c>
      <c r="J93" s="12"/>
      <c r="K93" s="14">
        <f t="shared" si="4"/>
        <v>70</v>
      </c>
      <c r="L93">
        <v>70</v>
      </c>
      <c r="M93" s="34">
        <f t="shared" si="6"/>
        <v>0</v>
      </c>
      <c r="N93" s="43">
        <f t="shared" si="7"/>
        <v>700</v>
      </c>
    </row>
    <row r="94" spans="1:14" ht="15.75" x14ac:dyDescent="0.25">
      <c r="A94">
        <v>522498</v>
      </c>
      <c r="B94" s="9">
        <v>625</v>
      </c>
      <c r="C94" s="10" t="s">
        <v>74</v>
      </c>
      <c r="D94" s="40">
        <v>50</v>
      </c>
      <c r="E94" s="11"/>
      <c r="F94" s="36">
        <v>0</v>
      </c>
      <c r="G94" s="36">
        <v>0</v>
      </c>
      <c r="H94" s="36">
        <v>0</v>
      </c>
      <c r="I94" s="13">
        <f t="shared" si="5"/>
        <v>0</v>
      </c>
      <c r="J94" s="12"/>
      <c r="K94" s="14">
        <f t="shared" si="4"/>
        <v>0</v>
      </c>
      <c r="M94" s="34">
        <f t="shared" si="6"/>
        <v>0</v>
      </c>
      <c r="N94" s="43">
        <f t="shared" si="7"/>
        <v>0</v>
      </c>
    </row>
    <row r="95" spans="1:14" ht="15.75" x14ac:dyDescent="0.25">
      <c r="A95">
        <v>517507</v>
      </c>
      <c r="B95" s="18">
        <v>500</v>
      </c>
      <c r="C95" s="17" t="s">
        <v>75</v>
      </c>
      <c r="D95" s="40">
        <v>35</v>
      </c>
      <c r="E95" s="11">
        <v>32</v>
      </c>
      <c r="F95" s="36">
        <v>0</v>
      </c>
      <c r="G95" s="36">
        <v>1</v>
      </c>
      <c r="H95" s="36">
        <v>6</v>
      </c>
      <c r="I95" s="13">
        <f t="shared" si="5"/>
        <v>39</v>
      </c>
      <c r="J95" s="12"/>
      <c r="K95" s="14">
        <f t="shared" si="4"/>
        <v>39</v>
      </c>
      <c r="L95">
        <v>39</v>
      </c>
      <c r="M95" s="34">
        <f t="shared" si="6"/>
        <v>0</v>
      </c>
      <c r="N95" s="43">
        <f t="shared" si="7"/>
        <v>1120</v>
      </c>
    </row>
    <row r="96" spans="1:14" ht="15.75" x14ac:dyDescent="0.25">
      <c r="A96">
        <v>517499</v>
      </c>
      <c r="B96" s="18">
        <v>360</v>
      </c>
      <c r="C96" s="17" t="s">
        <v>75</v>
      </c>
      <c r="D96" s="40">
        <v>25</v>
      </c>
      <c r="E96" s="11"/>
      <c r="F96" s="36">
        <v>6</v>
      </c>
      <c r="G96" s="36">
        <v>4</v>
      </c>
      <c r="H96" s="36">
        <v>0</v>
      </c>
      <c r="I96" s="13">
        <f t="shared" si="5"/>
        <v>10</v>
      </c>
      <c r="J96" s="12"/>
      <c r="K96" s="14">
        <f t="shared" si="4"/>
        <v>10</v>
      </c>
      <c r="L96">
        <v>10</v>
      </c>
      <c r="M96" s="34">
        <f t="shared" si="6"/>
        <v>0</v>
      </c>
      <c r="N96" s="43">
        <f t="shared" si="7"/>
        <v>0</v>
      </c>
    </row>
    <row r="97" spans="1:14" ht="15.75" x14ac:dyDescent="0.25">
      <c r="B97" s="9">
        <v>625</v>
      </c>
      <c r="C97" s="10" t="s">
        <v>76</v>
      </c>
      <c r="D97" s="40">
        <v>44.5</v>
      </c>
      <c r="E97" s="11"/>
      <c r="F97" s="36">
        <v>0</v>
      </c>
      <c r="G97" s="36">
        <v>0</v>
      </c>
      <c r="H97" s="36">
        <v>0</v>
      </c>
      <c r="I97" s="13">
        <f t="shared" si="5"/>
        <v>0</v>
      </c>
      <c r="J97" s="12"/>
      <c r="K97" s="14">
        <f t="shared" si="4"/>
        <v>0</v>
      </c>
      <c r="M97" s="34">
        <f t="shared" si="6"/>
        <v>0</v>
      </c>
      <c r="N97" s="43">
        <f t="shared" si="7"/>
        <v>0</v>
      </c>
    </row>
    <row r="98" spans="1:14" ht="15.75" x14ac:dyDescent="0.25">
      <c r="B98" s="9">
        <v>3030</v>
      </c>
      <c r="C98" s="10" t="s">
        <v>76</v>
      </c>
      <c r="D98" s="40">
        <v>56</v>
      </c>
      <c r="E98" s="11"/>
      <c r="F98" s="36">
        <v>0</v>
      </c>
      <c r="G98" s="36">
        <v>0</v>
      </c>
      <c r="H98" s="36">
        <v>0</v>
      </c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355</v>
      </c>
      <c r="C99" s="10" t="s">
        <v>18</v>
      </c>
      <c r="D99" s="40">
        <v>44.5</v>
      </c>
      <c r="E99" s="11"/>
      <c r="F99" s="36">
        <v>0</v>
      </c>
      <c r="G99" s="36">
        <v>0</v>
      </c>
      <c r="H99" s="36">
        <v>0</v>
      </c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911</v>
      </c>
      <c r="C100" s="10" t="s">
        <v>77</v>
      </c>
      <c r="D100" s="40">
        <v>22.5</v>
      </c>
      <c r="E100" s="11"/>
      <c r="F100" s="36">
        <v>0</v>
      </c>
      <c r="G100" s="36">
        <v>0</v>
      </c>
      <c r="H100" s="36">
        <v>0</v>
      </c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A101">
        <v>500386</v>
      </c>
      <c r="B101" s="9">
        <v>355</v>
      </c>
      <c r="C101" s="10" t="s">
        <v>21</v>
      </c>
      <c r="D101" s="40">
        <v>15</v>
      </c>
      <c r="E101" s="11"/>
      <c r="F101" s="36">
        <v>0</v>
      </c>
      <c r="G101" s="36">
        <v>0</v>
      </c>
      <c r="H101" s="36">
        <v>0</v>
      </c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598944</v>
      </c>
      <c r="B102" s="20">
        <v>355</v>
      </c>
      <c r="C102" s="21" t="s">
        <v>14</v>
      </c>
      <c r="D102" s="40">
        <v>15</v>
      </c>
      <c r="E102" s="11"/>
      <c r="F102" s="36">
        <v>0</v>
      </c>
      <c r="G102" s="36">
        <v>0</v>
      </c>
      <c r="H102" s="36">
        <v>0</v>
      </c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B103" s="20">
        <v>355</v>
      </c>
      <c r="C103" s="21" t="s">
        <v>16</v>
      </c>
      <c r="D103" s="40">
        <v>15</v>
      </c>
      <c r="E103" s="11"/>
      <c r="F103" s="36">
        <v>0</v>
      </c>
      <c r="G103" s="36">
        <v>0</v>
      </c>
      <c r="H103" s="36">
        <v>0</v>
      </c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A104">
        <v>598947</v>
      </c>
      <c r="B104" s="20">
        <v>355</v>
      </c>
      <c r="C104" s="21" t="s">
        <v>15</v>
      </c>
      <c r="D104" s="40">
        <v>15</v>
      </c>
      <c r="E104" s="11"/>
      <c r="F104" s="36">
        <v>0</v>
      </c>
      <c r="G104" s="36">
        <v>0</v>
      </c>
      <c r="H104" s="36">
        <v>0</v>
      </c>
      <c r="I104" s="13">
        <f t="shared" si="5"/>
        <v>0</v>
      </c>
      <c r="J104" s="12"/>
      <c r="K104" s="14"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598943</v>
      </c>
      <c r="B105" s="20">
        <v>355</v>
      </c>
      <c r="C105" s="21" t="s">
        <v>17</v>
      </c>
      <c r="D105" s="40">
        <v>15</v>
      </c>
      <c r="E105" s="11"/>
      <c r="F105" s="36">
        <v>0</v>
      </c>
      <c r="G105" s="36">
        <v>0</v>
      </c>
      <c r="H105" s="36">
        <v>0</v>
      </c>
      <c r="I105" s="13">
        <f t="shared" si="5"/>
        <v>0</v>
      </c>
      <c r="J105" s="12"/>
      <c r="K105" s="14">
        <f t="shared" si="4"/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B106" s="20">
        <v>355</v>
      </c>
      <c r="C106" s="21" t="s">
        <v>78</v>
      </c>
      <c r="D106" s="40">
        <v>15</v>
      </c>
      <c r="E106" s="11"/>
      <c r="F106" s="36">
        <v>0</v>
      </c>
      <c r="G106" s="36">
        <v>0</v>
      </c>
      <c r="H106" s="36">
        <v>0</v>
      </c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79</v>
      </c>
      <c r="D107" s="40">
        <v>15</v>
      </c>
      <c r="E107" s="11"/>
      <c r="F107" s="36">
        <v>0</v>
      </c>
      <c r="G107" s="36">
        <v>0</v>
      </c>
      <c r="H107" s="36">
        <v>0</v>
      </c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80</v>
      </c>
      <c r="D108" s="40">
        <v>15</v>
      </c>
      <c r="E108" s="11"/>
      <c r="F108" s="36">
        <v>0</v>
      </c>
      <c r="G108" s="36">
        <v>0</v>
      </c>
      <c r="H108" s="36">
        <v>0</v>
      </c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145</v>
      </c>
      <c r="C109" s="21" t="s">
        <v>70</v>
      </c>
      <c r="D109" s="40">
        <v>10</v>
      </c>
      <c r="E109" s="11"/>
      <c r="F109" s="36">
        <v>0</v>
      </c>
      <c r="G109" s="36">
        <v>0</v>
      </c>
      <c r="H109" s="36">
        <v>0</v>
      </c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68</v>
      </c>
      <c r="D110" s="40">
        <v>10</v>
      </c>
      <c r="E110" s="11"/>
      <c r="F110" s="36">
        <v>0</v>
      </c>
      <c r="G110" s="36">
        <v>0</v>
      </c>
      <c r="H110" s="36">
        <v>0</v>
      </c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73</v>
      </c>
      <c r="D111" s="40">
        <v>10</v>
      </c>
      <c r="E111" s="11"/>
      <c r="F111" s="36">
        <v>0</v>
      </c>
      <c r="G111" s="36">
        <v>0</v>
      </c>
      <c r="H111" s="36">
        <v>0</v>
      </c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/>
      <c r="C112" s="21" t="s">
        <v>66</v>
      </c>
      <c r="D112" s="40">
        <v>10</v>
      </c>
      <c r="E112" s="11"/>
      <c r="F112" s="36">
        <v>0</v>
      </c>
      <c r="G112" s="36">
        <v>0</v>
      </c>
      <c r="H112" s="36">
        <v>0</v>
      </c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81</v>
      </c>
      <c r="D113" s="40">
        <v>10</v>
      </c>
      <c r="E113" s="11"/>
      <c r="F113" s="36">
        <v>0</v>
      </c>
      <c r="G113" s="36">
        <v>0</v>
      </c>
      <c r="H113" s="36">
        <v>0</v>
      </c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74</v>
      </c>
      <c r="D114" s="40">
        <v>10</v>
      </c>
      <c r="E114" s="11"/>
      <c r="F114" s="36">
        <v>0</v>
      </c>
      <c r="G114" s="36">
        <v>0</v>
      </c>
      <c r="H114" s="36">
        <v>0</v>
      </c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82</v>
      </c>
      <c r="D115" s="40">
        <v>10</v>
      </c>
      <c r="E115" s="11"/>
      <c r="F115" s="36">
        <v>0</v>
      </c>
      <c r="G115" s="36">
        <v>0</v>
      </c>
      <c r="H115" s="36">
        <v>0</v>
      </c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>
        <v>250</v>
      </c>
      <c r="C116" s="21" t="s">
        <v>12</v>
      </c>
      <c r="D116" s="40">
        <v>41</v>
      </c>
      <c r="E116" s="11"/>
      <c r="F116" s="36">
        <v>0</v>
      </c>
      <c r="G116" s="36">
        <v>0</v>
      </c>
      <c r="H116" s="36">
        <v>0</v>
      </c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83</v>
      </c>
      <c r="D117" s="40">
        <v>25</v>
      </c>
      <c r="E117" s="11"/>
      <c r="F117" s="36">
        <v>0</v>
      </c>
      <c r="G117" s="36">
        <v>0</v>
      </c>
      <c r="H117" s="36">
        <v>0</v>
      </c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1000</v>
      </c>
      <c r="C118" s="21" t="s">
        <v>83</v>
      </c>
      <c r="D118" s="40">
        <v>30</v>
      </c>
      <c r="E118" s="11"/>
      <c r="F118" s="36">
        <v>0</v>
      </c>
      <c r="G118" s="36">
        <v>0</v>
      </c>
      <c r="H118" s="36">
        <v>0</v>
      </c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250</v>
      </c>
      <c r="C119" s="21" t="s">
        <v>84</v>
      </c>
      <c r="D119" s="40">
        <v>25</v>
      </c>
      <c r="E119" s="11"/>
      <c r="F119" s="36">
        <v>0</v>
      </c>
      <c r="G119" s="36">
        <v>0</v>
      </c>
      <c r="H119" s="36">
        <v>0</v>
      </c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A120">
        <v>522665</v>
      </c>
      <c r="B120" s="22">
        <v>1.5</v>
      </c>
      <c r="C120" s="23" t="s">
        <v>85</v>
      </c>
      <c r="D120" s="40">
        <v>50</v>
      </c>
      <c r="E120" s="11">
        <v>20</v>
      </c>
      <c r="F120" s="36">
        <v>5</v>
      </c>
      <c r="G120" s="36">
        <v>5</v>
      </c>
      <c r="H120" s="36">
        <v>5</v>
      </c>
      <c r="I120" s="13">
        <f t="shared" si="5"/>
        <v>35</v>
      </c>
      <c r="J120" s="12"/>
      <c r="K120" s="14">
        <f t="shared" si="4"/>
        <v>35</v>
      </c>
      <c r="L120">
        <v>35</v>
      </c>
      <c r="M120" s="34">
        <f t="shared" si="6"/>
        <v>0</v>
      </c>
      <c r="N120" s="43">
        <f t="shared" si="7"/>
        <v>1000</v>
      </c>
    </row>
    <row r="121" spans="1:14" ht="15.75" x14ac:dyDescent="0.25">
      <c r="A121">
        <v>522664</v>
      </c>
      <c r="B121" s="20">
        <v>1.5</v>
      </c>
      <c r="C121" s="21" t="s">
        <v>86</v>
      </c>
      <c r="D121" s="40">
        <v>50</v>
      </c>
      <c r="E121" s="11">
        <v>20</v>
      </c>
      <c r="F121" s="36">
        <v>7</v>
      </c>
      <c r="G121" s="36">
        <v>5</v>
      </c>
      <c r="H121" s="36">
        <v>5</v>
      </c>
      <c r="I121" s="13">
        <f t="shared" si="5"/>
        <v>37</v>
      </c>
      <c r="J121" s="12"/>
      <c r="K121" s="14">
        <f t="shared" si="4"/>
        <v>37</v>
      </c>
      <c r="L121">
        <v>37</v>
      </c>
      <c r="M121" s="34">
        <f t="shared" si="6"/>
        <v>0</v>
      </c>
      <c r="N121" s="43">
        <f t="shared" si="7"/>
        <v>1000</v>
      </c>
    </row>
    <row r="122" spans="1:14" ht="15.75" x14ac:dyDescent="0.25">
      <c r="B122" s="24">
        <v>250</v>
      </c>
      <c r="C122" s="21" t="s">
        <v>13</v>
      </c>
      <c r="D122" s="40">
        <v>41</v>
      </c>
      <c r="E122" s="11"/>
      <c r="F122" s="36">
        <v>0</v>
      </c>
      <c r="G122" s="36">
        <v>0</v>
      </c>
      <c r="H122" s="36">
        <v>0</v>
      </c>
      <c r="I122" s="13">
        <f t="shared" si="5"/>
        <v>0</v>
      </c>
      <c r="J122" s="12"/>
      <c r="K122" s="14">
        <f t="shared" ref="K122:K183" si="8">I122-J122</f>
        <v>0</v>
      </c>
      <c r="M122" s="34">
        <f t="shared" si="6"/>
        <v>0</v>
      </c>
      <c r="N122" s="43">
        <f t="shared" si="7"/>
        <v>0</v>
      </c>
    </row>
    <row r="123" spans="1:14" ht="15.75" x14ac:dyDescent="0.25">
      <c r="B123" s="20">
        <v>360</v>
      </c>
      <c r="C123" s="21" t="s">
        <v>87</v>
      </c>
      <c r="D123" s="40">
        <v>25</v>
      </c>
      <c r="E123" s="11"/>
      <c r="F123" s="36">
        <v>0</v>
      </c>
      <c r="G123" s="36">
        <v>0</v>
      </c>
      <c r="H123" s="36">
        <v>0</v>
      </c>
      <c r="I123" s="13">
        <f t="shared" si="5"/>
        <v>0</v>
      </c>
      <c r="J123" s="12"/>
      <c r="K123" s="14">
        <f t="shared" si="8"/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1000</v>
      </c>
      <c r="C124" s="21" t="s">
        <v>75</v>
      </c>
      <c r="D124" s="40">
        <v>75</v>
      </c>
      <c r="E124" s="11"/>
      <c r="F124" s="36">
        <v>0</v>
      </c>
      <c r="G124" s="36">
        <v>0</v>
      </c>
      <c r="H124" s="36">
        <v>0</v>
      </c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355</v>
      </c>
      <c r="C125" s="21" t="s">
        <v>88</v>
      </c>
      <c r="D125" s="40">
        <v>15</v>
      </c>
      <c r="E125" s="11"/>
      <c r="F125" s="36">
        <v>0</v>
      </c>
      <c r="G125" s="36">
        <v>0</v>
      </c>
      <c r="H125" s="36">
        <v>0</v>
      </c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330</v>
      </c>
      <c r="C126" s="21" t="s">
        <v>89</v>
      </c>
      <c r="D126" s="40">
        <v>20</v>
      </c>
      <c r="E126" s="11"/>
      <c r="F126" s="36">
        <v>0</v>
      </c>
      <c r="G126" s="36">
        <v>0</v>
      </c>
      <c r="H126" s="36">
        <v>0</v>
      </c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90</v>
      </c>
      <c r="D127" s="40">
        <v>20</v>
      </c>
      <c r="E127" s="11"/>
      <c r="F127" s="36">
        <v>0</v>
      </c>
      <c r="G127" s="36">
        <v>0</v>
      </c>
      <c r="H127" s="36">
        <v>0</v>
      </c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91</v>
      </c>
      <c r="D128" s="40">
        <v>20</v>
      </c>
      <c r="E128" s="11"/>
      <c r="F128" s="36">
        <v>0</v>
      </c>
      <c r="G128" s="36">
        <v>0</v>
      </c>
      <c r="H128" s="36">
        <v>0</v>
      </c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92</v>
      </c>
      <c r="D129" s="40">
        <v>20</v>
      </c>
      <c r="E129" s="11"/>
      <c r="F129" s="36">
        <v>0</v>
      </c>
      <c r="G129" s="36">
        <v>0</v>
      </c>
      <c r="H129" s="36">
        <v>0</v>
      </c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93</v>
      </c>
      <c r="D130" s="40">
        <v>20</v>
      </c>
      <c r="E130" s="11"/>
      <c r="F130" s="36">
        <v>0</v>
      </c>
      <c r="G130" s="36">
        <v>0</v>
      </c>
      <c r="H130" s="36">
        <v>0</v>
      </c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94</v>
      </c>
      <c r="D131" s="40">
        <v>20</v>
      </c>
      <c r="E131" s="11"/>
      <c r="F131" s="36">
        <v>0</v>
      </c>
      <c r="G131" s="36">
        <v>0</v>
      </c>
      <c r="H131" s="36">
        <v>0</v>
      </c>
      <c r="I131" s="13">
        <f t="shared" ref="I131:I183" si="9">E131+F131+G131+H131</f>
        <v>0</v>
      </c>
      <c r="J131" s="12"/>
      <c r="K131" s="14">
        <f t="shared" si="8"/>
        <v>0</v>
      </c>
      <c r="M131" s="34">
        <f t="shared" ref="M131:M183" si="10">L131-I131</f>
        <v>0</v>
      </c>
      <c r="N131" s="43">
        <f t="shared" ref="N131:N183" si="11">D131*E131</f>
        <v>0</v>
      </c>
    </row>
    <row r="132" spans="1:14" ht="15.75" x14ac:dyDescent="0.25">
      <c r="B132" s="20">
        <v>330</v>
      </c>
      <c r="C132" s="21" t="s">
        <v>95</v>
      </c>
      <c r="D132" s="40">
        <v>20</v>
      </c>
      <c r="E132" s="11"/>
      <c r="F132" s="36">
        <v>0</v>
      </c>
      <c r="G132" s="36">
        <v>0</v>
      </c>
      <c r="H132" s="36">
        <v>0</v>
      </c>
      <c r="I132" s="13">
        <f t="shared" si="9"/>
        <v>0</v>
      </c>
      <c r="J132" s="12"/>
      <c r="K132" s="14">
        <f t="shared" si="8"/>
        <v>0</v>
      </c>
      <c r="M132" s="34">
        <f t="shared" si="10"/>
        <v>0</v>
      </c>
      <c r="N132" s="43">
        <f t="shared" si="11"/>
        <v>0</v>
      </c>
    </row>
    <row r="133" spans="1:14" ht="15.75" x14ac:dyDescent="0.25">
      <c r="B133" s="20">
        <v>330</v>
      </c>
      <c r="C133" s="21" t="s">
        <v>96</v>
      </c>
      <c r="D133" s="40">
        <v>20</v>
      </c>
      <c r="E133" s="11"/>
      <c r="F133" s="36">
        <v>0</v>
      </c>
      <c r="G133" s="36">
        <v>0</v>
      </c>
      <c r="H133" s="36">
        <v>0</v>
      </c>
      <c r="I133" s="13">
        <f t="shared" si="9"/>
        <v>0</v>
      </c>
      <c r="J133" s="12"/>
      <c r="K133" s="14">
        <f t="shared" si="8"/>
        <v>0</v>
      </c>
      <c r="M133" s="34">
        <f t="shared" si="10"/>
        <v>0</v>
      </c>
      <c r="N133" s="43">
        <f t="shared" si="11"/>
        <v>0</v>
      </c>
    </row>
    <row r="134" spans="1:14" ht="15.75" x14ac:dyDescent="0.25">
      <c r="B134" s="20">
        <v>330</v>
      </c>
      <c r="C134" s="21" t="s">
        <v>97</v>
      </c>
      <c r="D134" s="40">
        <v>20</v>
      </c>
      <c r="E134" s="11"/>
      <c r="F134" s="36">
        <v>0</v>
      </c>
      <c r="G134" s="36">
        <v>0</v>
      </c>
      <c r="H134" s="36">
        <v>0</v>
      </c>
      <c r="I134" s="13">
        <f t="shared" si="9"/>
        <v>0</v>
      </c>
      <c r="J134" s="12"/>
      <c r="K134" s="14">
        <f t="shared" si="8"/>
        <v>0</v>
      </c>
      <c r="M134" s="34">
        <f t="shared" si="10"/>
        <v>0</v>
      </c>
      <c r="N134" s="43">
        <f t="shared" si="11"/>
        <v>0</v>
      </c>
    </row>
    <row r="135" spans="1:14" ht="15.75" x14ac:dyDescent="0.25">
      <c r="B135" s="20"/>
      <c r="C135" s="21" t="s">
        <v>98</v>
      </c>
      <c r="D135" s="40">
        <v>20</v>
      </c>
      <c r="E135" s="11"/>
      <c r="F135" s="36">
        <v>0</v>
      </c>
      <c r="G135" s="36">
        <v>0</v>
      </c>
      <c r="H135" s="36">
        <v>0</v>
      </c>
      <c r="I135" s="13">
        <f t="shared" si="9"/>
        <v>0</v>
      </c>
      <c r="J135" s="12"/>
      <c r="K135" s="14">
        <f t="shared" si="8"/>
        <v>0</v>
      </c>
      <c r="M135" s="34">
        <f t="shared" si="10"/>
        <v>0</v>
      </c>
      <c r="N135" s="43">
        <f t="shared" si="11"/>
        <v>0</v>
      </c>
    </row>
    <row r="136" spans="1:14" ht="15.75" x14ac:dyDescent="0.25">
      <c r="B136" s="24">
        <v>473</v>
      </c>
      <c r="C136" s="21" t="s">
        <v>43</v>
      </c>
      <c r="D136" s="40">
        <v>25</v>
      </c>
      <c r="E136" s="11"/>
      <c r="F136" s="36">
        <v>0</v>
      </c>
      <c r="G136" s="36">
        <v>0</v>
      </c>
      <c r="H136" s="36">
        <v>0</v>
      </c>
      <c r="I136" s="13">
        <f t="shared" si="9"/>
        <v>0</v>
      </c>
      <c r="J136" s="12"/>
      <c r="K136" s="14">
        <f t="shared" si="8"/>
        <v>0</v>
      </c>
      <c r="M136" s="34">
        <f t="shared" si="10"/>
        <v>0</v>
      </c>
      <c r="N136" s="43">
        <f t="shared" si="11"/>
        <v>0</v>
      </c>
    </row>
    <row r="137" spans="1:14" ht="15.75" x14ac:dyDescent="0.25">
      <c r="B137" s="24">
        <v>473</v>
      </c>
      <c r="C137" s="21" t="s">
        <v>45</v>
      </c>
      <c r="D137" s="40">
        <v>25</v>
      </c>
      <c r="E137" s="11"/>
      <c r="F137" s="36">
        <v>0</v>
      </c>
      <c r="G137" s="36">
        <v>0</v>
      </c>
      <c r="H137" s="36">
        <v>0</v>
      </c>
      <c r="I137" s="13">
        <f t="shared" si="9"/>
        <v>0</v>
      </c>
      <c r="J137" s="12"/>
      <c r="K137" s="14">
        <f t="shared" si="8"/>
        <v>0</v>
      </c>
      <c r="M137" s="34">
        <f t="shared" si="10"/>
        <v>0</v>
      </c>
      <c r="N137" s="43">
        <f t="shared" si="11"/>
        <v>0</v>
      </c>
    </row>
    <row r="138" spans="1:14" ht="15.75" x14ac:dyDescent="0.25">
      <c r="A138">
        <v>599675</v>
      </c>
      <c r="B138" s="24">
        <v>473</v>
      </c>
      <c r="C138" s="21" t="s">
        <v>99</v>
      </c>
      <c r="D138" s="40">
        <v>25</v>
      </c>
      <c r="E138" s="11"/>
      <c r="F138" s="36">
        <v>0</v>
      </c>
      <c r="G138" s="36">
        <v>0</v>
      </c>
      <c r="H138" s="36">
        <v>0</v>
      </c>
      <c r="I138" s="13">
        <f t="shared" si="9"/>
        <v>0</v>
      </c>
      <c r="J138" s="12"/>
      <c r="K138" s="14">
        <f t="shared" si="8"/>
        <v>0</v>
      </c>
      <c r="M138" s="34">
        <f t="shared" si="10"/>
        <v>0</v>
      </c>
      <c r="N138" s="43">
        <f t="shared" si="11"/>
        <v>0</v>
      </c>
    </row>
    <row r="139" spans="1:14" ht="15.75" x14ac:dyDescent="0.25">
      <c r="B139" s="20">
        <v>473</v>
      </c>
      <c r="C139" s="21" t="s">
        <v>46</v>
      </c>
      <c r="D139" s="40">
        <v>25</v>
      </c>
      <c r="E139" s="11"/>
      <c r="F139" s="36">
        <v>0</v>
      </c>
      <c r="G139" s="36">
        <v>0</v>
      </c>
      <c r="H139" s="36">
        <v>0</v>
      </c>
      <c r="I139" s="13">
        <f t="shared" si="9"/>
        <v>0</v>
      </c>
      <c r="J139" s="12"/>
      <c r="K139" s="14">
        <f t="shared" si="8"/>
        <v>0</v>
      </c>
      <c r="M139" s="34">
        <f t="shared" si="10"/>
        <v>0</v>
      </c>
      <c r="N139" s="43">
        <f t="shared" si="11"/>
        <v>0</v>
      </c>
    </row>
    <row r="140" spans="1:14" ht="15.75" x14ac:dyDescent="0.25">
      <c r="A140">
        <v>522564</v>
      </c>
      <c r="B140" s="20">
        <v>473</v>
      </c>
      <c r="C140" s="21" t="s">
        <v>100</v>
      </c>
      <c r="D140" s="40">
        <v>25</v>
      </c>
      <c r="E140" s="11"/>
      <c r="F140" s="36">
        <v>0</v>
      </c>
      <c r="G140" s="36">
        <v>0</v>
      </c>
      <c r="H140" s="36">
        <v>0</v>
      </c>
      <c r="I140" s="13">
        <f t="shared" si="9"/>
        <v>0</v>
      </c>
      <c r="J140" s="12"/>
      <c r="K140" s="14">
        <f>I140-J140</f>
        <v>0</v>
      </c>
      <c r="M140" s="34">
        <f t="shared" si="10"/>
        <v>0</v>
      </c>
      <c r="N140" s="43">
        <f t="shared" si="11"/>
        <v>0</v>
      </c>
    </row>
    <row r="141" spans="1:14" ht="15.75" x14ac:dyDescent="0.25">
      <c r="B141" s="20">
        <v>625</v>
      </c>
      <c r="C141" s="21" t="s">
        <v>100</v>
      </c>
      <c r="D141" s="40">
        <v>62.5</v>
      </c>
      <c r="E141" s="11"/>
      <c r="F141" s="36">
        <v>0</v>
      </c>
      <c r="G141" s="36">
        <v>0</v>
      </c>
      <c r="H141" s="36">
        <v>0</v>
      </c>
      <c r="I141" s="13">
        <f t="shared" si="9"/>
        <v>0</v>
      </c>
      <c r="J141" s="12"/>
      <c r="K141" s="14">
        <f t="shared" si="8"/>
        <v>0</v>
      </c>
      <c r="M141" s="34">
        <f t="shared" si="10"/>
        <v>0</v>
      </c>
      <c r="N141" s="43">
        <f t="shared" si="11"/>
        <v>0</v>
      </c>
    </row>
    <row r="142" spans="1:14" ht="15.75" x14ac:dyDescent="0.25">
      <c r="A142" t="s">
        <v>101</v>
      </c>
      <c r="B142" s="20"/>
      <c r="C142" s="21" t="s">
        <v>102</v>
      </c>
      <c r="D142" s="40">
        <v>60</v>
      </c>
      <c r="E142" s="11"/>
      <c r="F142" s="36">
        <v>0</v>
      </c>
      <c r="G142" s="36">
        <v>0</v>
      </c>
      <c r="H142" s="36">
        <v>0</v>
      </c>
      <c r="I142" s="13">
        <f t="shared" si="9"/>
        <v>0</v>
      </c>
      <c r="J142" s="12"/>
      <c r="K142" s="14">
        <f t="shared" si="8"/>
        <v>0</v>
      </c>
      <c r="M142" s="34">
        <f t="shared" si="10"/>
        <v>0</v>
      </c>
      <c r="N142" s="43">
        <f t="shared" si="11"/>
        <v>0</v>
      </c>
    </row>
    <row r="143" spans="1:14" ht="15.75" x14ac:dyDescent="0.25">
      <c r="B143" s="20">
        <v>400</v>
      </c>
      <c r="C143" s="21" t="s">
        <v>103</v>
      </c>
      <c r="D143" s="40">
        <v>25</v>
      </c>
      <c r="E143" s="11"/>
      <c r="F143" s="36">
        <v>0</v>
      </c>
      <c r="G143" s="36">
        <v>0</v>
      </c>
      <c r="H143" s="36">
        <v>0</v>
      </c>
      <c r="I143" s="13">
        <f t="shared" si="9"/>
        <v>0</v>
      </c>
      <c r="J143" s="12"/>
      <c r="K143" s="14">
        <f t="shared" si="8"/>
        <v>0</v>
      </c>
      <c r="M143" s="34">
        <f t="shared" si="10"/>
        <v>0</v>
      </c>
      <c r="N143" s="43">
        <f t="shared" si="11"/>
        <v>0</v>
      </c>
    </row>
    <row r="144" spans="1:14" ht="15.75" x14ac:dyDescent="0.25">
      <c r="B144" s="20">
        <v>300</v>
      </c>
      <c r="C144" s="21" t="s">
        <v>43</v>
      </c>
      <c r="D144" s="40">
        <v>30</v>
      </c>
      <c r="E144" s="11"/>
      <c r="F144" s="36">
        <v>0</v>
      </c>
      <c r="G144" s="36">
        <v>0</v>
      </c>
      <c r="H144" s="36">
        <v>0</v>
      </c>
      <c r="I144" s="13">
        <f t="shared" si="9"/>
        <v>0</v>
      </c>
      <c r="J144" s="12"/>
      <c r="K144" s="14">
        <f t="shared" si="8"/>
        <v>0</v>
      </c>
      <c r="M144" s="34">
        <f t="shared" si="10"/>
        <v>0</v>
      </c>
      <c r="N144" s="43">
        <f t="shared" si="11"/>
        <v>0</v>
      </c>
    </row>
    <row r="145" spans="1:14" ht="15.75" x14ac:dyDescent="0.25">
      <c r="B145" s="20">
        <v>300</v>
      </c>
      <c r="C145" s="21" t="s">
        <v>45</v>
      </c>
      <c r="D145" s="40">
        <v>30</v>
      </c>
      <c r="E145" s="11"/>
      <c r="F145" s="36">
        <v>0</v>
      </c>
      <c r="G145" s="36">
        <v>0</v>
      </c>
      <c r="H145" s="36">
        <v>0</v>
      </c>
      <c r="I145" s="13">
        <f t="shared" si="9"/>
        <v>0</v>
      </c>
      <c r="J145" s="12"/>
      <c r="K145" s="14">
        <f t="shared" si="8"/>
        <v>0</v>
      </c>
      <c r="M145" s="34">
        <f t="shared" si="10"/>
        <v>0</v>
      </c>
      <c r="N145" s="43">
        <f t="shared" si="11"/>
        <v>0</v>
      </c>
    </row>
    <row r="146" spans="1:14" ht="15.75" x14ac:dyDescent="0.25">
      <c r="B146" s="20">
        <v>300</v>
      </c>
      <c r="C146" s="21" t="s">
        <v>44</v>
      </c>
      <c r="D146" s="40">
        <v>30</v>
      </c>
      <c r="E146" s="11"/>
      <c r="F146" s="36">
        <v>0</v>
      </c>
      <c r="G146" s="36">
        <v>0</v>
      </c>
      <c r="H146" s="36">
        <v>0</v>
      </c>
      <c r="I146" s="13">
        <f t="shared" si="9"/>
        <v>0</v>
      </c>
      <c r="J146" s="12"/>
      <c r="K146" s="14">
        <f t="shared" si="8"/>
        <v>0</v>
      </c>
      <c r="M146" s="34">
        <f t="shared" si="10"/>
        <v>0</v>
      </c>
      <c r="N146" s="43">
        <f t="shared" si="11"/>
        <v>0</v>
      </c>
    </row>
    <row r="147" spans="1:14" ht="15.75" x14ac:dyDescent="0.25">
      <c r="B147" s="20">
        <v>1090</v>
      </c>
      <c r="C147" s="21" t="s">
        <v>11</v>
      </c>
      <c r="D147" s="40">
        <v>25</v>
      </c>
      <c r="E147" s="11"/>
      <c r="F147" s="36">
        <v>0</v>
      </c>
      <c r="G147" s="36">
        <v>0</v>
      </c>
      <c r="H147" s="36">
        <v>0</v>
      </c>
      <c r="I147" s="13">
        <f t="shared" si="9"/>
        <v>0</v>
      </c>
      <c r="J147" s="12"/>
      <c r="K147" s="14">
        <f t="shared" si="8"/>
        <v>0</v>
      </c>
      <c r="M147" s="34">
        <f t="shared" si="10"/>
        <v>0</v>
      </c>
      <c r="N147" s="43">
        <f t="shared" si="11"/>
        <v>0</v>
      </c>
    </row>
    <row r="148" spans="1:14" ht="15.75" x14ac:dyDescent="0.25">
      <c r="B148" s="20">
        <v>2600</v>
      </c>
      <c r="C148" s="21" t="s">
        <v>11</v>
      </c>
      <c r="D148" s="40">
        <v>50</v>
      </c>
      <c r="E148" s="11"/>
      <c r="F148" s="36">
        <v>0</v>
      </c>
      <c r="G148" s="36">
        <v>0</v>
      </c>
      <c r="H148" s="36">
        <v>0</v>
      </c>
      <c r="I148" s="13">
        <f t="shared" si="9"/>
        <v>0</v>
      </c>
      <c r="J148" s="12"/>
      <c r="K148" s="14">
        <f t="shared" si="8"/>
        <v>0</v>
      </c>
      <c r="M148" s="34">
        <f t="shared" si="10"/>
        <v>0</v>
      </c>
      <c r="N148" s="43">
        <f t="shared" si="11"/>
        <v>0</v>
      </c>
    </row>
    <row r="149" spans="1:14" ht="15.75" x14ac:dyDescent="0.25">
      <c r="B149" s="20">
        <v>250</v>
      </c>
      <c r="C149" s="21" t="s">
        <v>104</v>
      </c>
      <c r="D149" s="40">
        <v>41</v>
      </c>
      <c r="E149" s="11"/>
      <c r="F149" s="36">
        <v>0</v>
      </c>
      <c r="G149" s="36">
        <v>0</v>
      </c>
      <c r="H149" s="36">
        <v>0</v>
      </c>
      <c r="I149" s="13">
        <f t="shared" si="9"/>
        <v>0</v>
      </c>
      <c r="J149" s="12"/>
      <c r="K149" s="14">
        <f t="shared" si="8"/>
        <v>0</v>
      </c>
      <c r="M149" s="34">
        <f t="shared" si="10"/>
        <v>0</v>
      </c>
      <c r="N149" s="43">
        <f t="shared" si="11"/>
        <v>0</v>
      </c>
    </row>
    <row r="150" spans="1:14" ht="15.75" x14ac:dyDescent="0.25">
      <c r="B150" s="20"/>
      <c r="C150" s="21" t="s">
        <v>105</v>
      </c>
      <c r="D150" s="40">
        <v>41</v>
      </c>
      <c r="E150" s="11"/>
      <c r="F150" s="36">
        <v>0</v>
      </c>
      <c r="G150" s="36">
        <v>0</v>
      </c>
      <c r="H150" s="36">
        <v>0</v>
      </c>
      <c r="I150" s="13">
        <f t="shared" si="9"/>
        <v>0</v>
      </c>
      <c r="J150" s="12"/>
      <c r="K150" s="14">
        <f t="shared" si="8"/>
        <v>0</v>
      </c>
      <c r="M150" s="34">
        <f t="shared" si="10"/>
        <v>0</v>
      </c>
      <c r="N150" s="43">
        <f t="shared" si="11"/>
        <v>0</v>
      </c>
    </row>
    <row r="151" spans="1:14" ht="15.75" x14ac:dyDescent="0.25">
      <c r="B151" s="20"/>
      <c r="C151" s="21" t="s">
        <v>16</v>
      </c>
      <c r="D151" s="40">
        <v>41</v>
      </c>
      <c r="E151" s="11"/>
      <c r="F151" s="36">
        <v>0</v>
      </c>
      <c r="G151" s="36">
        <v>0</v>
      </c>
      <c r="H151" s="36">
        <v>0</v>
      </c>
      <c r="I151" s="13">
        <f t="shared" si="9"/>
        <v>0</v>
      </c>
      <c r="J151" s="12"/>
      <c r="K151" s="14">
        <f t="shared" si="8"/>
        <v>0</v>
      </c>
      <c r="M151" s="34">
        <f t="shared" si="10"/>
        <v>0</v>
      </c>
      <c r="N151" s="43">
        <f t="shared" si="11"/>
        <v>0</v>
      </c>
    </row>
    <row r="152" spans="1:14" ht="15.75" x14ac:dyDescent="0.25">
      <c r="B152" s="20"/>
      <c r="C152" s="21" t="s">
        <v>106</v>
      </c>
      <c r="D152" s="40">
        <v>41</v>
      </c>
      <c r="E152" s="11"/>
      <c r="F152" s="36">
        <v>0</v>
      </c>
      <c r="G152" s="36">
        <v>0</v>
      </c>
      <c r="H152" s="36">
        <v>0</v>
      </c>
      <c r="I152" s="13">
        <f t="shared" si="9"/>
        <v>0</v>
      </c>
      <c r="J152" s="12"/>
      <c r="K152" s="14">
        <f t="shared" si="8"/>
        <v>0</v>
      </c>
      <c r="M152" s="34">
        <f t="shared" si="10"/>
        <v>0</v>
      </c>
      <c r="N152" s="43">
        <f t="shared" si="11"/>
        <v>0</v>
      </c>
    </row>
    <row r="153" spans="1:14" ht="15.75" x14ac:dyDescent="0.25">
      <c r="B153" s="20"/>
      <c r="C153" s="21" t="s">
        <v>107</v>
      </c>
      <c r="D153" s="40">
        <v>41</v>
      </c>
      <c r="E153" s="11"/>
      <c r="F153" s="36">
        <v>0</v>
      </c>
      <c r="G153" s="36">
        <v>0</v>
      </c>
      <c r="H153" s="36">
        <v>0</v>
      </c>
      <c r="I153" s="13">
        <f t="shared" si="9"/>
        <v>0</v>
      </c>
      <c r="J153" s="12"/>
      <c r="K153" s="14">
        <f t="shared" si="8"/>
        <v>0</v>
      </c>
      <c r="M153" s="34">
        <f t="shared" si="10"/>
        <v>0</v>
      </c>
      <c r="N153" s="43">
        <f t="shared" si="11"/>
        <v>0</v>
      </c>
    </row>
    <row r="154" spans="1:14" ht="15.75" x14ac:dyDescent="0.25">
      <c r="B154" s="20"/>
      <c r="C154" s="21" t="s">
        <v>108</v>
      </c>
      <c r="D154" s="40">
        <v>41</v>
      </c>
      <c r="E154" s="11"/>
      <c r="F154" s="36">
        <v>0</v>
      </c>
      <c r="G154" s="36">
        <v>0</v>
      </c>
      <c r="H154" s="36">
        <v>0</v>
      </c>
      <c r="I154" s="13">
        <f t="shared" si="9"/>
        <v>0</v>
      </c>
      <c r="J154" s="12"/>
      <c r="K154" s="14">
        <f t="shared" si="8"/>
        <v>0</v>
      </c>
      <c r="M154" s="34">
        <f t="shared" si="10"/>
        <v>0</v>
      </c>
      <c r="N154" s="43">
        <f t="shared" si="11"/>
        <v>0</v>
      </c>
    </row>
    <row r="155" spans="1:14" ht="15.75" x14ac:dyDescent="0.25">
      <c r="A155">
        <v>699952</v>
      </c>
      <c r="B155" s="20"/>
      <c r="C155" s="21" t="s">
        <v>109</v>
      </c>
      <c r="D155" s="40">
        <v>52.2</v>
      </c>
      <c r="E155" s="11"/>
      <c r="F155" s="36">
        <v>0</v>
      </c>
      <c r="G155" s="36">
        <v>0</v>
      </c>
      <c r="H155" s="36">
        <v>0</v>
      </c>
      <c r="I155" s="13">
        <f t="shared" si="9"/>
        <v>0</v>
      </c>
      <c r="J155" s="12"/>
      <c r="K155" s="14">
        <f t="shared" si="8"/>
        <v>0</v>
      </c>
      <c r="M155" s="34">
        <f t="shared" si="10"/>
        <v>0</v>
      </c>
      <c r="N155" s="43">
        <f t="shared" si="11"/>
        <v>0</v>
      </c>
    </row>
    <row r="156" spans="1:14" ht="15.75" x14ac:dyDescent="0.25">
      <c r="A156">
        <v>501020</v>
      </c>
      <c r="B156" s="24">
        <v>360</v>
      </c>
      <c r="C156" s="21" t="s">
        <v>110</v>
      </c>
      <c r="D156" s="40">
        <v>23.5</v>
      </c>
      <c r="E156" s="11">
        <v>100</v>
      </c>
      <c r="F156" s="36">
        <v>10</v>
      </c>
      <c r="G156" s="36">
        <v>0</v>
      </c>
      <c r="H156" s="36">
        <v>10</v>
      </c>
      <c r="I156" s="13">
        <f t="shared" si="9"/>
        <v>120</v>
      </c>
      <c r="J156" s="12"/>
      <c r="K156" s="14">
        <f t="shared" si="8"/>
        <v>120</v>
      </c>
      <c r="L156">
        <v>120</v>
      </c>
      <c r="M156" s="34">
        <f t="shared" si="10"/>
        <v>0</v>
      </c>
      <c r="N156" s="43">
        <f t="shared" si="11"/>
        <v>2350</v>
      </c>
    </row>
    <row r="157" spans="1:14" ht="15.75" x14ac:dyDescent="0.25">
      <c r="A157">
        <v>501505</v>
      </c>
      <c r="B157" s="24">
        <v>360</v>
      </c>
      <c r="C157" s="21" t="s">
        <v>17</v>
      </c>
      <c r="D157" s="40">
        <v>47</v>
      </c>
      <c r="E157" s="11"/>
      <c r="F157" s="36">
        <v>0</v>
      </c>
      <c r="G157" s="36">
        <v>0</v>
      </c>
      <c r="H157" s="36">
        <v>0</v>
      </c>
      <c r="I157" s="13">
        <f t="shared" si="9"/>
        <v>0</v>
      </c>
      <c r="J157" s="12"/>
      <c r="K157" s="14">
        <f t="shared" si="8"/>
        <v>0</v>
      </c>
      <c r="M157" s="34">
        <f t="shared" si="10"/>
        <v>0</v>
      </c>
      <c r="N157" s="43">
        <f t="shared" si="11"/>
        <v>0</v>
      </c>
    </row>
    <row r="158" spans="1:14" ht="15.75" x14ac:dyDescent="0.25">
      <c r="B158" s="20">
        <v>250</v>
      </c>
      <c r="C158" s="21" t="s">
        <v>111</v>
      </c>
      <c r="D158" s="40">
        <v>25</v>
      </c>
      <c r="E158" s="11"/>
      <c r="F158" s="36">
        <v>0</v>
      </c>
      <c r="G158" s="36">
        <v>0</v>
      </c>
      <c r="H158" s="36">
        <v>0</v>
      </c>
      <c r="I158" s="13">
        <f t="shared" si="9"/>
        <v>0</v>
      </c>
      <c r="J158" s="12"/>
      <c r="K158" s="14">
        <f t="shared" si="8"/>
        <v>0</v>
      </c>
      <c r="M158" s="34">
        <f t="shared" si="10"/>
        <v>0</v>
      </c>
      <c r="N158" s="43">
        <f t="shared" si="11"/>
        <v>0</v>
      </c>
    </row>
    <row r="159" spans="1:14" ht="15.75" x14ac:dyDescent="0.25">
      <c r="B159" s="20">
        <v>250</v>
      </c>
      <c r="C159" s="21" t="s">
        <v>112</v>
      </c>
      <c r="D159" s="40">
        <v>25</v>
      </c>
      <c r="E159" s="11"/>
      <c r="F159" s="36">
        <v>0</v>
      </c>
      <c r="G159" s="36">
        <v>0</v>
      </c>
      <c r="H159" s="36">
        <v>0</v>
      </c>
      <c r="I159" s="13">
        <f t="shared" si="9"/>
        <v>0</v>
      </c>
      <c r="J159" s="12"/>
      <c r="K159" s="14">
        <f t="shared" si="8"/>
        <v>0</v>
      </c>
      <c r="M159" s="34">
        <f t="shared" si="10"/>
        <v>0</v>
      </c>
      <c r="N159" s="43">
        <f t="shared" si="11"/>
        <v>0</v>
      </c>
    </row>
    <row r="160" spans="1:14" ht="15.75" x14ac:dyDescent="0.25">
      <c r="A160">
        <v>501207</v>
      </c>
      <c r="B160" s="20">
        <v>360</v>
      </c>
      <c r="C160" s="21" t="s">
        <v>113</v>
      </c>
      <c r="D160" s="40">
        <v>47</v>
      </c>
      <c r="E160" s="11"/>
      <c r="F160" s="36">
        <v>0</v>
      </c>
      <c r="G160" s="36">
        <v>0</v>
      </c>
      <c r="H160" s="36">
        <v>0</v>
      </c>
      <c r="I160" s="13">
        <f t="shared" si="9"/>
        <v>0</v>
      </c>
      <c r="J160" s="12"/>
      <c r="K160" s="14">
        <f t="shared" si="8"/>
        <v>0</v>
      </c>
      <c r="M160" s="34">
        <f t="shared" si="10"/>
        <v>0</v>
      </c>
      <c r="N160" s="43">
        <f t="shared" si="11"/>
        <v>0</v>
      </c>
    </row>
    <row r="161" spans="1:14" ht="15.75" x14ac:dyDescent="0.25">
      <c r="A161">
        <v>599858</v>
      </c>
      <c r="B161" s="22"/>
      <c r="C161" s="23" t="s">
        <v>114</v>
      </c>
      <c r="D161" s="40">
        <v>44</v>
      </c>
      <c r="E161" s="11"/>
      <c r="F161" s="36">
        <v>0</v>
      </c>
      <c r="G161" s="36">
        <v>0</v>
      </c>
      <c r="H161" s="36">
        <v>0</v>
      </c>
      <c r="I161" s="13">
        <f t="shared" si="9"/>
        <v>0</v>
      </c>
      <c r="J161" s="12"/>
      <c r="K161" s="14">
        <f t="shared" si="8"/>
        <v>0</v>
      </c>
      <c r="M161" s="34">
        <f t="shared" si="10"/>
        <v>0</v>
      </c>
      <c r="N161" s="43">
        <f t="shared" si="11"/>
        <v>0</v>
      </c>
    </row>
    <row r="162" spans="1:14" ht="15.75" x14ac:dyDescent="0.25">
      <c r="A162">
        <v>599857</v>
      </c>
      <c r="B162" s="22"/>
      <c r="C162" s="23" t="s">
        <v>115</v>
      </c>
      <c r="D162" s="40">
        <v>44</v>
      </c>
      <c r="E162" s="11"/>
      <c r="F162" s="36">
        <v>0</v>
      </c>
      <c r="G162" s="36">
        <v>0</v>
      </c>
      <c r="H162" s="36">
        <v>0</v>
      </c>
      <c r="I162" s="13">
        <f t="shared" si="9"/>
        <v>0</v>
      </c>
      <c r="J162" s="12"/>
      <c r="K162" s="14">
        <f t="shared" si="8"/>
        <v>0</v>
      </c>
      <c r="M162" s="34">
        <f t="shared" si="10"/>
        <v>0</v>
      </c>
      <c r="N162" s="43">
        <f t="shared" si="11"/>
        <v>0</v>
      </c>
    </row>
    <row r="163" spans="1:14" ht="15.75" x14ac:dyDescent="0.25">
      <c r="A163">
        <v>621972</v>
      </c>
      <c r="B163" s="20"/>
      <c r="C163" s="21" t="s">
        <v>116</v>
      </c>
      <c r="D163" s="40">
        <v>14.4</v>
      </c>
      <c r="E163" s="11"/>
      <c r="F163" s="36">
        <v>0</v>
      </c>
      <c r="G163" s="36">
        <v>0</v>
      </c>
      <c r="H163" s="36">
        <v>0</v>
      </c>
      <c r="I163" s="13">
        <f t="shared" si="9"/>
        <v>0</v>
      </c>
      <c r="J163" s="12"/>
      <c r="K163" s="14">
        <f t="shared" si="8"/>
        <v>0</v>
      </c>
      <c r="M163" s="34">
        <f t="shared" si="10"/>
        <v>0</v>
      </c>
      <c r="N163" s="43">
        <f t="shared" si="11"/>
        <v>0</v>
      </c>
    </row>
    <row r="164" spans="1:14" ht="15.75" x14ac:dyDescent="0.25">
      <c r="A164">
        <v>622165</v>
      </c>
      <c r="B164" s="20"/>
      <c r="C164" s="21" t="s">
        <v>117</v>
      </c>
      <c r="D164" s="40">
        <v>73.7</v>
      </c>
      <c r="E164" s="11"/>
      <c r="F164" s="36">
        <v>0</v>
      </c>
      <c r="G164" s="36">
        <v>0</v>
      </c>
      <c r="H164" s="36">
        <v>2</v>
      </c>
      <c r="I164" s="13">
        <f t="shared" si="9"/>
        <v>2</v>
      </c>
      <c r="J164" s="12"/>
      <c r="K164" s="14">
        <f t="shared" si="8"/>
        <v>2</v>
      </c>
      <c r="L164">
        <v>2</v>
      </c>
      <c r="M164" s="34">
        <f t="shared" si="10"/>
        <v>0</v>
      </c>
      <c r="N164" s="43">
        <f t="shared" si="11"/>
        <v>0</v>
      </c>
    </row>
    <row r="165" spans="1:14" ht="15.75" x14ac:dyDescent="0.25">
      <c r="B165" s="20">
        <v>300</v>
      </c>
      <c r="C165" s="21" t="s">
        <v>104</v>
      </c>
      <c r="D165" s="40">
        <v>40</v>
      </c>
      <c r="E165" s="11"/>
      <c r="F165" s="36">
        <v>0</v>
      </c>
      <c r="G165" s="36">
        <v>0</v>
      </c>
      <c r="H165" s="36">
        <v>0</v>
      </c>
      <c r="I165" s="13">
        <f t="shared" si="9"/>
        <v>0</v>
      </c>
      <c r="J165" s="12"/>
      <c r="K165" s="14">
        <f t="shared" si="8"/>
        <v>0</v>
      </c>
      <c r="M165" s="34">
        <f t="shared" si="10"/>
        <v>0</v>
      </c>
      <c r="N165" s="43">
        <f t="shared" si="11"/>
        <v>0</v>
      </c>
    </row>
    <row r="166" spans="1:14" ht="15.75" x14ac:dyDescent="0.25">
      <c r="A166">
        <v>622164</v>
      </c>
      <c r="B166" s="20"/>
      <c r="C166" s="21" t="s">
        <v>118</v>
      </c>
      <c r="D166" s="40">
        <v>30</v>
      </c>
      <c r="E166" s="11"/>
      <c r="F166" s="36">
        <v>0</v>
      </c>
      <c r="G166" s="36">
        <v>0</v>
      </c>
      <c r="H166" s="36">
        <v>0</v>
      </c>
      <c r="I166" s="13">
        <f t="shared" si="9"/>
        <v>0</v>
      </c>
      <c r="J166" s="12"/>
      <c r="K166" s="14">
        <f t="shared" si="8"/>
        <v>0</v>
      </c>
      <c r="M166" s="34">
        <f t="shared" si="10"/>
        <v>0</v>
      </c>
      <c r="N166" s="43">
        <f t="shared" si="11"/>
        <v>0</v>
      </c>
    </row>
    <row r="167" spans="1:14" ht="15.75" x14ac:dyDescent="0.25">
      <c r="A167">
        <v>621967</v>
      </c>
      <c r="B167" s="20"/>
      <c r="C167" s="21" t="s">
        <v>118</v>
      </c>
      <c r="D167" s="40">
        <v>90</v>
      </c>
      <c r="E167" s="11">
        <v>7</v>
      </c>
      <c r="F167" s="36">
        <v>1</v>
      </c>
      <c r="G167" s="36">
        <v>0</v>
      </c>
      <c r="H167" s="36">
        <v>1</v>
      </c>
      <c r="I167" s="13">
        <f t="shared" si="9"/>
        <v>9</v>
      </c>
      <c r="J167" s="12"/>
      <c r="K167" s="14">
        <f t="shared" si="8"/>
        <v>9</v>
      </c>
      <c r="L167">
        <v>9</v>
      </c>
      <c r="M167" s="34">
        <f t="shared" si="10"/>
        <v>0</v>
      </c>
      <c r="N167" s="43">
        <f t="shared" si="11"/>
        <v>630</v>
      </c>
    </row>
    <row r="168" spans="1:14" ht="15.75" x14ac:dyDescent="0.25">
      <c r="A168">
        <v>500032</v>
      </c>
      <c r="B168" s="24">
        <v>360</v>
      </c>
      <c r="C168" s="21" t="s">
        <v>104</v>
      </c>
      <c r="D168" s="40">
        <v>47</v>
      </c>
      <c r="E168" s="11"/>
      <c r="F168" s="36">
        <v>16</v>
      </c>
      <c r="G168" s="36">
        <v>6</v>
      </c>
      <c r="H168" s="36">
        <v>13</v>
      </c>
      <c r="I168" s="13">
        <f t="shared" si="9"/>
        <v>35</v>
      </c>
      <c r="J168" s="12"/>
      <c r="K168" s="14">
        <f t="shared" si="8"/>
        <v>35</v>
      </c>
      <c r="L168">
        <v>35</v>
      </c>
      <c r="M168" s="34">
        <f t="shared" si="10"/>
        <v>0</v>
      </c>
      <c r="N168" s="43">
        <f t="shared" si="11"/>
        <v>0</v>
      </c>
    </row>
    <row r="169" spans="1:14" ht="15.75" x14ac:dyDescent="0.25">
      <c r="A169">
        <v>522459</v>
      </c>
      <c r="B169" s="24">
        <v>360</v>
      </c>
      <c r="C169" s="21" t="s">
        <v>119</v>
      </c>
      <c r="D169" s="40">
        <v>30</v>
      </c>
      <c r="E169" s="11">
        <v>121</v>
      </c>
      <c r="F169" s="36">
        <v>35</v>
      </c>
      <c r="G169" s="36">
        <v>50</v>
      </c>
      <c r="H169" s="36">
        <v>30</v>
      </c>
      <c r="I169" s="13">
        <f t="shared" si="9"/>
        <v>236</v>
      </c>
      <c r="J169" s="12"/>
      <c r="K169" s="14">
        <f t="shared" si="8"/>
        <v>236</v>
      </c>
      <c r="L169">
        <v>237</v>
      </c>
      <c r="M169" s="34">
        <f t="shared" si="10"/>
        <v>1</v>
      </c>
      <c r="N169" s="43">
        <f t="shared" si="11"/>
        <v>3630</v>
      </c>
    </row>
    <row r="170" spans="1:14" ht="15.75" x14ac:dyDescent="0.25">
      <c r="A170">
        <v>522451</v>
      </c>
      <c r="B170" s="24">
        <v>360</v>
      </c>
      <c r="C170" s="21" t="s">
        <v>120</v>
      </c>
      <c r="D170" s="40">
        <v>30</v>
      </c>
      <c r="E170" s="11">
        <v>44</v>
      </c>
      <c r="F170" s="36">
        <v>35</v>
      </c>
      <c r="G170" s="36">
        <v>50</v>
      </c>
      <c r="H170" s="36">
        <v>30</v>
      </c>
      <c r="I170" s="13">
        <f t="shared" si="9"/>
        <v>159</v>
      </c>
      <c r="J170" s="12"/>
      <c r="K170" s="14">
        <f t="shared" si="8"/>
        <v>159</v>
      </c>
      <c r="L170">
        <v>159</v>
      </c>
      <c r="M170" s="34">
        <f t="shared" si="10"/>
        <v>0</v>
      </c>
      <c r="N170" s="43">
        <f t="shared" si="11"/>
        <v>1320</v>
      </c>
    </row>
    <row r="171" spans="1:14" ht="15.75" x14ac:dyDescent="0.25">
      <c r="A171">
        <v>522450</v>
      </c>
      <c r="B171" s="24">
        <v>360</v>
      </c>
      <c r="C171" s="21" t="s">
        <v>121</v>
      </c>
      <c r="D171" s="40">
        <v>30</v>
      </c>
      <c r="E171" s="11">
        <v>38</v>
      </c>
      <c r="F171" s="36">
        <v>37</v>
      </c>
      <c r="G171" s="36">
        <v>50</v>
      </c>
      <c r="H171" s="36">
        <v>30</v>
      </c>
      <c r="I171" s="13">
        <f t="shared" si="9"/>
        <v>155</v>
      </c>
      <c r="J171" s="12"/>
      <c r="K171" s="14">
        <f t="shared" si="8"/>
        <v>155</v>
      </c>
      <c r="L171">
        <v>155</v>
      </c>
      <c r="M171" s="34">
        <f t="shared" si="10"/>
        <v>0</v>
      </c>
      <c r="N171" s="43">
        <f t="shared" si="11"/>
        <v>1140</v>
      </c>
    </row>
    <row r="172" spans="1:14" ht="15.75" x14ac:dyDescent="0.25">
      <c r="A172">
        <v>522461</v>
      </c>
      <c r="B172" s="20">
        <v>360</v>
      </c>
      <c r="C172" s="21" t="s">
        <v>122</v>
      </c>
      <c r="D172" s="40">
        <v>30</v>
      </c>
      <c r="E172" s="11"/>
      <c r="F172" s="36">
        <v>0</v>
      </c>
      <c r="G172" s="36">
        <v>0</v>
      </c>
      <c r="H172" s="36">
        <v>0</v>
      </c>
      <c r="I172" s="13">
        <f t="shared" si="9"/>
        <v>0</v>
      </c>
      <c r="J172" s="12"/>
      <c r="K172" s="14">
        <f t="shared" si="8"/>
        <v>0</v>
      </c>
      <c r="M172" s="34">
        <f t="shared" si="10"/>
        <v>0</v>
      </c>
      <c r="N172" s="43">
        <f t="shared" si="11"/>
        <v>0</v>
      </c>
    </row>
    <row r="173" spans="1:14" ht="15.75" x14ac:dyDescent="0.25">
      <c r="A173">
        <v>522463</v>
      </c>
      <c r="B173" s="20">
        <v>360</v>
      </c>
      <c r="C173" s="21" t="s">
        <v>123</v>
      </c>
      <c r="D173" s="40">
        <v>30</v>
      </c>
      <c r="E173" s="11"/>
      <c r="F173" s="36">
        <v>0</v>
      </c>
      <c r="G173" s="36">
        <v>0</v>
      </c>
      <c r="H173" s="36">
        <v>0</v>
      </c>
      <c r="I173" s="13">
        <f t="shared" si="9"/>
        <v>0</v>
      </c>
      <c r="J173" s="12"/>
      <c r="K173" s="14">
        <f t="shared" si="8"/>
        <v>0</v>
      </c>
      <c r="M173" s="34">
        <f t="shared" si="10"/>
        <v>0</v>
      </c>
      <c r="N173" s="43">
        <f t="shared" si="11"/>
        <v>0</v>
      </c>
    </row>
    <row r="174" spans="1:14" ht="15.75" x14ac:dyDescent="0.25">
      <c r="A174">
        <v>522462</v>
      </c>
      <c r="B174" s="22">
        <v>360</v>
      </c>
      <c r="C174" s="23" t="s">
        <v>124</v>
      </c>
      <c r="D174" s="40">
        <v>30</v>
      </c>
      <c r="E174" s="11"/>
      <c r="F174" s="36">
        <v>0</v>
      </c>
      <c r="G174" s="36">
        <v>0</v>
      </c>
      <c r="H174" s="36">
        <v>0</v>
      </c>
      <c r="I174" s="13">
        <f t="shared" si="9"/>
        <v>0</v>
      </c>
      <c r="J174" s="12"/>
      <c r="K174" s="14">
        <f t="shared" si="8"/>
        <v>0</v>
      </c>
      <c r="M174" s="34">
        <f t="shared" si="10"/>
        <v>0</v>
      </c>
      <c r="N174" s="43">
        <f t="shared" si="11"/>
        <v>0</v>
      </c>
    </row>
    <row r="175" spans="1:14" ht="15.75" x14ac:dyDescent="0.25">
      <c r="A175">
        <v>522460</v>
      </c>
      <c r="B175" s="22">
        <v>360</v>
      </c>
      <c r="C175" s="23" t="s">
        <v>125</v>
      </c>
      <c r="D175" s="40">
        <v>30</v>
      </c>
      <c r="E175" s="11"/>
      <c r="F175" s="36">
        <v>0</v>
      </c>
      <c r="G175" s="36">
        <v>0</v>
      </c>
      <c r="H175" s="36">
        <v>0</v>
      </c>
      <c r="I175" s="13">
        <f t="shared" si="9"/>
        <v>0</v>
      </c>
      <c r="J175" s="12"/>
      <c r="K175" s="14">
        <f t="shared" si="8"/>
        <v>0</v>
      </c>
      <c r="M175" s="34">
        <f t="shared" si="10"/>
        <v>0</v>
      </c>
      <c r="N175" s="43">
        <f t="shared" si="11"/>
        <v>0</v>
      </c>
    </row>
    <row r="176" spans="1:14" ht="15.75" x14ac:dyDescent="0.25">
      <c r="A176">
        <v>522921</v>
      </c>
      <c r="B176" s="20">
        <v>600</v>
      </c>
      <c r="C176" s="21" t="s">
        <v>126</v>
      </c>
      <c r="D176" s="40">
        <v>50</v>
      </c>
      <c r="E176" s="11"/>
      <c r="F176" s="36">
        <v>0</v>
      </c>
      <c r="G176" s="36">
        <v>0</v>
      </c>
      <c r="H176" s="36">
        <v>0</v>
      </c>
      <c r="I176" s="13">
        <f t="shared" si="9"/>
        <v>0</v>
      </c>
      <c r="J176" s="12"/>
      <c r="K176" s="14">
        <f t="shared" si="8"/>
        <v>0</v>
      </c>
      <c r="M176" s="34">
        <f t="shared" si="10"/>
        <v>0</v>
      </c>
      <c r="N176" s="43">
        <f t="shared" si="11"/>
        <v>0</v>
      </c>
    </row>
    <row r="177" spans="1:14" ht="15.75" x14ac:dyDescent="0.25">
      <c r="A177">
        <v>522906</v>
      </c>
      <c r="B177" s="24">
        <v>600</v>
      </c>
      <c r="C177" s="21" t="s">
        <v>121</v>
      </c>
      <c r="D177" s="40">
        <v>50</v>
      </c>
      <c r="E177" s="11"/>
      <c r="F177" s="36">
        <v>0</v>
      </c>
      <c r="G177" s="36">
        <v>0</v>
      </c>
      <c r="H177" s="36">
        <v>0</v>
      </c>
      <c r="I177" s="13">
        <f t="shared" si="9"/>
        <v>0</v>
      </c>
      <c r="J177" s="12"/>
      <c r="K177" s="14">
        <f t="shared" si="8"/>
        <v>0</v>
      </c>
      <c r="M177" s="34">
        <f t="shared" si="10"/>
        <v>0</v>
      </c>
      <c r="N177" s="43">
        <f t="shared" si="11"/>
        <v>0</v>
      </c>
    </row>
    <row r="178" spans="1:14" ht="15.75" x14ac:dyDescent="0.25">
      <c r="A178">
        <v>522907</v>
      </c>
      <c r="B178" s="24">
        <v>600</v>
      </c>
      <c r="C178" s="21" t="s">
        <v>120</v>
      </c>
      <c r="D178" s="40">
        <v>50</v>
      </c>
      <c r="E178" s="11"/>
      <c r="F178" s="36">
        <v>0</v>
      </c>
      <c r="G178" s="36">
        <v>0</v>
      </c>
      <c r="H178" s="36">
        <v>0</v>
      </c>
      <c r="I178" s="13">
        <f t="shared" si="9"/>
        <v>0</v>
      </c>
      <c r="J178" s="12"/>
      <c r="K178" s="14">
        <f t="shared" si="8"/>
        <v>0</v>
      </c>
      <c r="M178" s="34">
        <f t="shared" si="10"/>
        <v>0</v>
      </c>
      <c r="N178" s="43">
        <f t="shared" si="11"/>
        <v>0</v>
      </c>
    </row>
    <row r="179" spans="1:14" ht="15.75" x14ac:dyDescent="0.25">
      <c r="A179">
        <v>522499</v>
      </c>
      <c r="B179" s="20">
        <v>625</v>
      </c>
      <c r="C179" s="21" t="s">
        <v>14</v>
      </c>
      <c r="D179" s="40">
        <v>50</v>
      </c>
      <c r="E179" s="11"/>
      <c r="F179" s="36">
        <v>0</v>
      </c>
      <c r="G179" s="36">
        <v>0</v>
      </c>
      <c r="H179" s="36">
        <v>0</v>
      </c>
      <c r="I179" s="13">
        <f t="shared" si="9"/>
        <v>0</v>
      </c>
      <c r="J179" s="12"/>
      <c r="K179" s="14">
        <f t="shared" si="8"/>
        <v>0</v>
      </c>
      <c r="M179" s="34">
        <f t="shared" si="10"/>
        <v>0</v>
      </c>
      <c r="N179" s="43">
        <f t="shared" si="11"/>
        <v>0</v>
      </c>
    </row>
    <row r="180" spans="1:14" ht="15.75" x14ac:dyDescent="0.25">
      <c r="A180">
        <v>522496</v>
      </c>
      <c r="B180" s="20">
        <v>625</v>
      </c>
      <c r="C180" s="21" t="s">
        <v>127</v>
      </c>
      <c r="D180" s="40">
        <v>50</v>
      </c>
      <c r="E180" s="11"/>
      <c r="F180" s="36">
        <v>0</v>
      </c>
      <c r="G180" s="36">
        <v>0</v>
      </c>
      <c r="H180" s="36">
        <v>0</v>
      </c>
      <c r="I180" s="13">
        <f t="shared" si="9"/>
        <v>0</v>
      </c>
      <c r="J180" s="12"/>
      <c r="K180" s="14">
        <f t="shared" si="8"/>
        <v>0</v>
      </c>
      <c r="M180" s="34">
        <f t="shared" si="10"/>
        <v>0</v>
      </c>
      <c r="N180" s="43">
        <f t="shared" si="11"/>
        <v>0</v>
      </c>
    </row>
    <row r="181" spans="1:14" ht="15.75" x14ac:dyDescent="0.25">
      <c r="A181">
        <v>522498</v>
      </c>
      <c r="B181" s="20">
        <v>625</v>
      </c>
      <c r="C181" s="21" t="s">
        <v>128</v>
      </c>
      <c r="D181" s="40">
        <v>50</v>
      </c>
      <c r="E181" s="11"/>
      <c r="F181" s="36">
        <v>0</v>
      </c>
      <c r="G181" s="36">
        <v>0</v>
      </c>
      <c r="H181" s="36">
        <v>0</v>
      </c>
      <c r="I181" s="13">
        <f t="shared" si="9"/>
        <v>0</v>
      </c>
      <c r="J181" s="12"/>
      <c r="K181" s="14">
        <f t="shared" si="8"/>
        <v>0</v>
      </c>
      <c r="M181" s="34">
        <f t="shared" si="10"/>
        <v>0</v>
      </c>
      <c r="N181" s="43">
        <f t="shared" si="11"/>
        <v>0</v>
      </c>
    </row>
    <row r="182" spans="1:14" ht="15.75" x14ac:dyDescent="0.25">
      <c r="A182">
        <v>522497</v>
      </c>
      <c r="B182" s="20">
        <v>625</v>
      </c>
      <c r="C182" s="21" t="s">
        <v>129</v>
      </c>
      <c r="D182" s="40">
        <v>50</v>
      </c>
      <c r="E182" s="11"/>
      <c r="F182" s="36">
        <v>0</v>
      </c>
      <c r="G182" s="36">
        <v>0</v>
      </c>
      <c r="H182" s="36">
        <v>0</v>
      </c>
      <c r="I182" s="13">
        <f t="shared" si="9"/>
        <v>0</v>
      </c>
      <c r="J182" s="12"/>
      <c r="K182" s="14">
        <f t="shared" si="8"/>
        <v>0</v>
      </c>
      <c r="M182" s="34">
        <f t="shared" si="10"/>
        <v>0</v>
      </c>
      <c r="N182" s="43">
        <f t="shared" si="11"/>
        <v>0</v>
      </c>
    </row>
    <row r="183" spans="1:14" ht="15.75" x14ac:dyDescent="0.25">
      <c r="A183">
        <v>523188</v>
      </c>
      <c r="B183" s="20"/>
      <c r="C183" s="21" t="s">
        <v>130</v>
      </c>
      <c r="D183" s="40">
        <v>9.25</v>
      </c>
      <c r="E183" s="11"/>
      <c r="F183" s="36">
        <v>11</v>
      </c>
      <c r="G183" s="36">
        <v>0</v>
      </c>
      <c r="H183" s="36">
        <v>23</v>
      </c>
      <c r="I183" s="13">
        <f t="shared" si="9"/>
        <v>34</v>
      </c>
      <c r="J183" s="12"/>
      <c r="K183" s="14">
        <f t="shared" si="8"/>
        <v>34</v>
      </c>
      <c r="L183">
        <v>34</v>
      </c>
      <c r="M183" s="34">
        <f t="shared" si="10"/>
        <v>0</v>
      </c>
      <c r="N183" s="43">
        <f t="shared" si="11"/>
        <v>0</v>
      </c>
    </row>
    <row r="184" spans="1:14" ht="16.5" thickBot="1" x14ac:dyDescent="0.3">
      <c r="B184" s="25"/>
      <c r="C184" s="26"/>
      <c r="D184" s="42"/>
      <c r="E184" s="27"/>
      <c r="F184" s="28"/>
      <c r="G184" s="29"/>
      <c r="H184" s="28"/>
      <c r="I184" s="30"/>
      <c r="J184" s="28"/>
      <c r="K184" s="31"/>
      <c r="N184" s="43">
        <f>SUM(N2:N183)</f>
        <v>63531.5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6"/>
  <sheetViews>
    <sheetView workbookViewId="0">
      <selection sqref="A1:XF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7.5703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9" style="43" bestFit="1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5" t="s">
        <v>133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/>
      <c r="G2" s="36"/>
      <c r="H2" s="36"/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D2*I2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/>
      <c r="G3" s="36"/>
      <c r="H3" s="36"/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D3*I3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>
        <v>2</v>
      </c>
      <c r="F4" s="36">
        <v>1</v>
      </c>
      <c r="G4" s="36">
        <v>3</v>
      </c>
      <c r="H4" s="36">
        <v>8</v>
      </c>
      <c r="I4" s="13">
        <f t="shared" si="0"/>
        <v>14</v>
      </c>
      <c r="J4" s="12"/>
      <c r="K4" s="14">
        <f t="shared" si="1"/>
        <v>14</v>
      </c>
      <c r="L4">
        <v>14</v>
      </c>
      <c r="M4" s="34">
        <f t="shared" si="2"/>
        <v>0</v>
      </c>
      <c r="N4" s="43">
        <f t="shared" si="3"/>
        <v>784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>
        <v>17</v>
      </c>
      <c r="F5" s="36">
        <v>1</v>
      </c>
      <c r="G5" s="36">
        <v>5</v>
      </c>
      <c r="H5" s="36">
        <v>6</v>
      </c>
      <c r="I5" s="13">
        <f t="shared" si="0"/>
        <v>29</v>
      </c>
      <c r="J5" s="12"/>
      <c r="K5" s="14">
        <f t="shared" si="1"/>
        <v>29</v>
      </c>
      <c r="L5">
        <v>29</v>
      </c>
      <c r="M5" s="34">
        <f t="shared" si="2"/>
        <v>0</v>
      </c>
      <c r="N5" s="43">
        <f t="shared" si="3"/>
        <v>1624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192</v>
      </c>
      <c r="F6" s="36">
        <v>8</v>
      </c>
      <c r="G6" s="36">
        <v>19</v>
      </c>
      <c r="H6" s="36">
        <v>1</v>
      </c>
      <c r="I6" s="13">
        <f t="shared" si="0"/>
        <v>220</v>
      </c>
      <c r="J6" s="12"/>
      <c r="K6" s="14">
        <f t="shared" si="1"/>
        <v>220</v>
      </c>
      <c r="L6">
        <v>222</v>
      </c>
      <c r="M6" s="34">
        <f t="shared" si="2"/>
        <v>2</v>
      </c>
      <c r="N6" s="43">
        <f t="shared" si="3"/>
        <v>13420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>
        <v>4</v>
      </c>
      <c r="F7" s="36"/>
      <c r="G7" s="36"/>
      <c r="H7" s="36"/>
      <c r="I7" s="13">
        <f t="shared" si="0"/>
        <v>4</v>
      </c>
      <c r="J7" s="12"/>
      <c r="K7" s="14">
        <f t="shared" si="1"/>
        <v>4</v>
      </c>
      <c r="L7">
        <v>4</v>
      </c>
      <c r="M7" s="34">
        <f t="shared" si="2"/>
        <v>0</v>
      </c>
      <c r="N7" s="43">
        <f t="shared" si="3"/>
        <v>244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/>
      <c r="F8" s="36"/>
      <c r="G8" s="36"/>
      <c r="H8" s="36"/>
      <c r="I8" s="13">
        <f t="shared" si="0"/>
        <v>0</v>
      </c>
      <c r="J8" s="12"/>
      <c r="K8" s="14">
        <f t="shared" si="1"/>
        <v>0</v>
      </c>
      <c r="M8" s="34">
        <f t="shared" si="2"/>
        <v>0</v>
      </c>
      <c r="N8" s="43">
        <f t="shared" si="3"/>
        <v>0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/>
      <c r="F9" s="36"/>
      <c r="G9" s="36"/>
      <c r="H9" s="36"/>
      <c r="I9" s="13">
        <f t="shared" si="0"/>
        <v>0</v>
      </c>
      <c r="J9" s="12"/>
      <c r="K9" s="14">
        <f t="shared" si="1"/>
        <v>0</v>
      </c>
      <c r="M9" s="34">
        <f t="shared" si="2"/>
        <v>0</v>
      </c>
      <c r="N9" s="43">
        <f t="shared" si="3"/>
        <v>0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/>
      <c r="G10" s="36"/>
      <c r="H10" s="36"/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/>
      <c r="G11" s="36"/>
      <c r="H11" s="36"/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/>
      <c r="G12" s="36"/>
      <c r="H12" s="36"/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/>
      <c r="G13" s="36"/>
      <c r="H13" s="36"/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/>
      <c r="G14" s="36"/>
      <c r="H14" s="36"/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.75" x14ac:dyDescent="0.25">
      <c r="B15" s="9">
        <v>1800</v>
      </c>
      <c r="C15" s="10" t="s">
        <v>21</v>
      </c>
      <c r="D15" s="40">
        <v>38</v>
      </c>
      <c r="E15" s="11"/>
      <c r="F15" s="36"/>
      <c r="G15" s="36"/>
      <c r="H15" s="36"/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>
        <v>123</v>
      </c>
      <c r="F16" s="36">
        <v>4</v>
      </c>
      <c r="G16" s="36"/>
      <c r="H16" s="36">
        <v>24</v>
      </c>
      <c r="I16" s="13">
        <f t="shared" si="0"/>
        <v>151</v>
      </c>
      <c r="J16" s="12"/>
      <c r="K16" s="14">
        <f t="shared" si="1"/>
        <v>151</v>
      </c>
      <c r="L16">
        <v>153</v>
      </c>
      <c r="M16" s="34">
        <f t="shared" si="2"/>
        <v>2</v>
      </c>
      <c r="N16" s="43">
        <f t="shared" si="3"/>
        <v>6191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/>
      <c r="G17" s="36"/>
      <c r="H17" s="36"/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/>
      <c r="G18" s="36"/>
      <c r="H18" s="36"/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>
        <v>45</v>
      </c>
      <c r="F19" s="36">
        <v>2</v>
      </c>
      <c r="G19" s="36">
        <v>5</v>
      </c>
      <c r="H19" s="36">
        <v>6</v>
      </c>
      <c r="I19" s="13">
        <f t="shared" si="0"/>
        <v>58</v>
      </c>
      <c r="J19" s="12"/>
      <c r="K19" s="14">
        <f t="shared" si="1"/>
        <v>58</v>
      </c>
      <c r="L19">
        <v>58</v>
      </c>
      <c r="M19" s="34">
        <f t="shared" si="2"/>
        <v>0</v>
      </c>
      <c r="N19" s="43">
        <f t="shared" si="3"/>
        <v>2378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>
        <v>72</v>
      </c>
      <c r="F20" s="36">
        <v>6</v>
      </c>
      <c r="G20" s="36">
        <v>2</v>
      </c>
      <c r="H20" s="36">
        <v>4</v>
      </c>
      <c r="I20" s="13">
        <f t="shared" si="0"/>
        <v>84</v>
      </c>
      <c r="J20" s="12"/>
      <c r="K20" s="14">
        <f t="shared" si="1"/>
        <v>84</v>
      </c>
      <c r="L20">
        <v>84</v>
      </c>
      <c r="M20" s="34">
        <f t="shared" si="2"/>
        <v>0</v>
      </c>
      <c r="N20" s="43">
        <f t="shared" si="3"/>
        <v>3444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/>
      <c r="G21" s="36"/>
      <c r="H21" s="36"/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/>
      <c r="G22" s="36"/>
      <c r="H22" s="36"/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/>
      <c r="G23" s="36"/>
      <c r="H23" s="36"/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173</v>
      </c>
      <c r="F24" s="36">
        <v>2</v>
      </c>
      <c r="G24" s="36">
        <v>5</v>
      </c>
      <c r="H24" s="36">
        <v>9</v>
      </c>
      <c r="I24" s="13">
        <f t="shared" si="0"/>
        <v>189</v>
      </c>
      <c r="J24" s="12"/>
      <c r="K24" s="14">
        <f t="shared" si="1"/>
        <v>189</v>
      </c>
      <c r="L24">
        <v>191</v>
      </c>
      <c r="M24" s="34">
        <f t="shared" si="2"/>
        <v>2</v>
      </c>
      <c r="N24" s="43">
        <f t="shared" si="3"/>
        <v>6615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/>
      <c r="G25" s="36"/>
      <c r="H25" s="36"/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/>
      <c r="G26" s="36"/>
      <c r="H26" s="36"/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>
        <v>61</v>
      </c>
      <c r="F27" s="36">
        <v>2</v>
      </c>
      <c r="G27" s="36">
        <v>5</v>
      </c>
      <c r="H27" s="36">
        <v>4</v>
      </c>
      <c r="I27" s="13">
        <f t="shared" si="0"/>
        <v>72</v>
      </c>
      <c r="J27" s="12"/>
      <c r="K27" s="14">
        <f t="shared" si="1"/>
        <v>72</v>
      </c>
      <c r="L27">
        <v>72</v>
      </c>
      <c r="M27" s="34">
        <f t="shared" si="2"/>
        <v>0</v>
      </c>
      <c r="N27" s="43">
        <f t="shared" si="3"/>
        <v>3204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/>
      <c r="G28" s="36"/>
      <c r="H28" s="36"/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/>
      <c r="G29" s="36"/>
      <c r="H29" s="36"/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/>
      <c r="G30" s="36"/>
      <c r="H30" s="36"/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/>
      <c r="G31" s="36"/>
      <c r="H31" s="36"/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/>
      <c r="G32" s="36"/>
      <c r="H32" s="36"/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>
        <v>100</v>
      </c>
      <c r="F33" s="36"/>
      <c r="G33" s="36"/>
      <c r="H33" s="36">
        <v>8</v>
      </c>
      <c r="I33" s="13">
        <f t="shared" si="0"/>
        <v>108</v>
      </c>
      <c r="J33" s="12"/>
      <c r="K33" s="14">
        <f t="shared" si="1"/>
        <v>108</v>
      </c>
      <c r="L33">
        <v>108</v>
      </c>
      <c r="M33" s="34">
        <f t="shared" si="2"/>
        <v>0</v>
      </c>
      <c r="N33" s="43">
        <f t="shared" si="3"/>
        <v>2538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/>
      <c r="G34" s="36"/>
      <c r="H34" s="36"/>
      <c r="I34" s="13">
        <f t="shared" si="0"/>
        <v>0</v>
      </c>
      <c r="J34" s="12"/>
      <c r="K34" s="14">
        <f t="shared" si="1"/>
        <v>0</v>
      </c>
      <c r="M34" s="34">
        <f t="shared" si="2"/>
        <v>0</v>
      </c>
      <c r="N34" s="43">
        <f t="shared" si="3"/>
        <v>0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/>
      <c r="G35" s="36"/>
      <c r="H35" s="36"/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/>
      <c r="F36" s="36"/>
      <c r="G36" s="36"/>
      <c r="H36" s="36"/>
      <c r="I36" s="13">
        <f t="shared" si="0"/>
        <v>0</v>
      </c>
      <c r="J36" s="12"/>
      <c r="K36" s="14">
        <f t="shared" si="1"/>
        <v>0</v>
      </c>
      <c r="M36" s="34">
        <f t="shared" si="2"/>
        <v>0</v>
      </c>
      <c r="N36" s="43">
        <f t="shared" si="3"/>
        <v>0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>
        <v>4</v>
      </c>
      <c r="F37" s="36">
        <v>5</v>
      </c>
      <c r="G37" s="36">
        <v>2</v>
      </c>
      <c r="H37" s="36">
        <v>23</v>
      </c>
      <c r="I37" s="13">
        <f t="shared" si="0"/>
        <v>34</v>
      </c>
      <c r="J37" s="12"/>
      <c r="K37" s="14">
        <f t="shared" si="1"/>
        <v>34</v>
      </c>
      <c r="L37">
        <v>34</v>
      </c>
      <c r="M37" s="34">
        <f t="shared" si="2"/>
        <v>0</v>
      </c>
      <c r="N37" s="43">
        <f t="shared" si="3"/>
        <v>850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/>
      <c r="G38" s="36"/>
      <c r="H38" s="36"/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/>
      <c r="G39" s="36"/>
      <c r="H39" s="36"/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/>
      <c r="G40" s="36"/>
      <c r="H40" s="36"/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/>
      <c r="G41" s="36"/>
      <c r="H41" s="36"/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/>
      <c r="G42" s="36"/>
      <c r="H42" s="36"/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>
        <v>5</v>
      </c>
      <c r="F43" s="36">
        <v>4</v>
      </c>
      <c r="G43" s="36">
        <v>1</v>
      </c>
      <c r="H43" s="36"/>
      <c r="I43" s="13">
        <f t="shared" si="0"/>
        <v>10</v>
      </c>
      <c r="J43" s="12"/>
      <c r="K43" s="14">
        <f t="shared" si="1"/>
        <v>10</v>
      </c>
      <c r="L43">
        <v>10</v>
      </c>
      <c r="M43" s="34">
        <f t="shared" si="2"/>
        <v>0</v>
      </c>
      <c r="N43" s="43">
        <f t="shared" si="3"/>
        <v>300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/>
      <c r="G44" s="36"/>
      <c r="H44" s="36"/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/>
      <c r="G45" s="36"/>
      <c r="H45" s="36"/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/>
      <c r="G46" s="36"/>
      <c r="H46" s="36"/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/>
      <c r="G47" s="36"/>
      <c r="H47" s="36"/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/>
      <c r="G48" s="36"/>
      <c r="H48" s="36"/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/>
      <c r="G49" s="36"/>
      <c r="H49" s="36"/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/>
      <c r="G50" s="36"/>
      <c r="H50" s="36"/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59</v>
      </c>
      <c r="F51" s="36">
        <v>4</v>
      </c>
      <c r="G51" s="36">
        <v>8</v>
      </c>
      <c r="H51" s="36">
        <v>8</v>
      </c>
      <c r="I51" s="13">
        <f t="shared" si="0"/>
        <v>79</v>
      </c>
      <c r="J51" s="12"/>
      <c r="K51" s="14">
        <f t="shared" si="1"/>
        <v>79</v>
      </c>
      <c r="L51">
        <v>79</v>
      </c>
      <c r="M51" s="34">
        <f t="shared" si="2"/>
        <v>0</v>
      </c>
      <c r="N51" s="43">
        <f t="shared" si="3"/>
        <v>2370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/>
      <c r="G52" s="36"/>
      <c r="H52" s="36"/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>
        <v>42</v>
      </c>
      <c r="F53" s="36">
        <v>1</v>
      </c>
      <c r="G53" s="36"/>
      <c r="H53" s="36">
        <v>11</v>
      </c>
      <c r="I53" s="13">
        <f t="shared" si="0"/>
        <v>54</v>
      </c>
      <c r="J53" s="12"/>
      <c r="K53" s="14">
        <f>I53-J53</f>
        <v>54</v>
      </c>
      <c r="L53">
        <v>54</v>
      </c>
      <c r="M53" s="34">
        <f t="shared" si="2"/>
        <v>0</v>
      </c>
      <c r="N53" s="43">
        <f t="shared" si="3"/>
        <v>2160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>
        <v>29</v>
      </c>
      <c r="F54" s="36"/>
      <c r="G54" s="36">
        <v>16</v>
      </c>
      <c r="H54" s="36">
        <v>2</v>
      </c>
      <c r="I54" s="13">
        <f t="shared" si="0"/>
        <v>47</v>
      </c>
      <c r="J54" s="12"/>
      <c r="K54" s="14">
        <f t="shared" si="1"/>
        <v>47</v>
      </c>
      <c r="L54">
        <v>47</v>
      </c>
      <c r="M54" s="34">
        <f t="shared" si="2"/>
        <v>0</v>
      </c>
      <c r="N54" s="43">
        <f t="shared" si="3"/>
        <v>1222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/>
      <c r="G55" s="36"/>
      <c r="H55" s="36"/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/>
      <c r="G56" s="36"/>
      <c r="H56" s="36"/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3</v>
      </c>
      <c r="F57" s="36"/>
      <c r="G57" s="36"/>
      <c r="H57" s="36"/>
      <c r="I57" s="13">
        <f t="shared" si="0"/>
        <v>3</v>
      </c>
      <c r="J57" s="12"/>
      <c r="K57" s="14">
        <f>I57-J57</f>
        <v>3</v>
      </c>
      <c r="L57">
        <v>3</v>
      </c>
      <c r="M57" s="34">
        <f t="shared" si="2"/>
        <v>0</v>
      </c>
      <c r="N57" s="43">
        <f t="shared" si="3"/>
        <v>93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/>
      <c r="G58" s="36"/>
      <c r="H58" s="36"/>
      <c r="I58" s="13">
        <f t="shared" si="0"/>
        <v>0</v>
      </c>
      <c r="J58" s="12"/>
      <c r="K58" s="14">
        <f t="shared" ref="K58:K121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/>
      <c r="F59" s="36"/>
      <c r="G59" s="36"/>
      <c r="H59" s="36"/>
      <c r="I59" s="13">
        <f t="shared" si="0"/>
        <v>0</v>
      </c>
      <c r="J59" s="12"/>
      <c r="K59" s="14">
        <f t="shared" si="4"/>
        <v>0</v>
      </c>
      <c r="M59" s="34">
        <f t="shared" si="2"/>
        <v>0</v>
      </c>
      <c r="N59" s="43">
        <f t="shared" si="3"/>
        <v>0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>
        <v>1</v>
      </c>
      <c r="F60" s="36"/>
      <c r="G60" s="36"/>
      <c r="H60" s="36"/>
      <c r="I60" s="13">
        <f t="shared" si="0"/>
        <v>1</v>
      </c>
      <c r="J60" s="12"/>
      <c r="K60" s="14">
        <f t="shared" si="4"/>
        <v>1</v>
      </c>
      <c r="L60">
        <v>1</v>
      </c>
      <c r="M60" s="34">
        <f t="shared" si="2"/>
        <v>0</v>
      </c>
      <c r="N60" s="43">
        <f t="shared" si="3"/>
        <v>15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/>
      <c r="G61" s="36"/>
      <c r="H61" s="36"/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/>
      <c r="G62" s="36"/>
      <c r="H62" s="36"/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/>
      <c r="G63" s="36"/>
      <c r="H63" s="36"/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/>
      <c r="G64" s="36"/>
      <c r="H64" s="36"/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/>
      <c r="G65" s="36"/>
      <c r="H65" s="36"/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/>
      <c r="G66" s="36"/>
      <c r="H66" s="36"/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/>
      <c r="G67" s="36"/>
      <c r="H67" s="36"/>
      <c r="I67" s="13">
        <f t="shared" ref="I67:I130" si="5">E67+F67+G67+H67</f>
        <v>0</v>
      </c>
      <c r="J67" s="12"/>
      <c r="K67" s="14">
        <f t="shared" si="4"/>
        <v>0</v>
      </c>
      <c r="M67" s="34">
        <f t="shared" ref="M67:M130" si="6">L67-I67</f>
        <v>0</v>
      </c>
      <c r="N67" s="43">
        <f t="shared" ref="N67:N130" si="7">D67*I67</f>
        <v>0</v>
      </c>
    </row>
    <row r="68" spans="1:14" ht="15.75" x14ac:dyDescent="0.25">
      <c r="A68">
        <v>598822</v>
      </c>
      <c r="B68" s="9">
        <v>250</v>
      </c>
      <c r="C68" s="10" t="s">
        <v>61</v>
      </c>
      <c r="D68" s="40">
        <v>25</v>
      </c>
      <c r="E68" s="11"/>
      <c r="F68" s="36"/>
      <c r="G68" s="36"/>
      <c r="H68" s="36"/>
      <c r="I68" s="13">
        <f t="shared" si="5"/>
        <v>0</v>
      </c>
      <c r="J68" s="12"/>
      <c r="K68" s="14">
        <f t="shared" si="4"/>
        <v>0</v>
      </c>
      <c r="M68" s="34">
        <f t="shared" si="6"/>
        <v>0</v>
      </c>
      <c r="N68" s="43">
        <f t="shared" si="7"/>
        <v>0</v>
      </c>
    </row>
    <row r="69" spans="1:14" ht="15.75" x14ac:dyDescent="0.25">
      <c r="A69">
        <v>598823</v>
      </c>
      <c r="B69" s="9">
        <v>250</v>
      </c>
      <c r="C69" s="10" t="s">
        <v>62</v>
      </c>
      <c r="D69" s="40">
        <v>25</v>
      </c>
      <c r="E69" s="11"/>
      <c r="F69" s="36"/>
      <c r="G69" s="36"/>
      <c r="H69" s="36"/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B70" s="9">
        <v>250</v>
      </c>
      <c r="C70" s="10" t="s">
        <v>54</v>
      </c>
      <c r="D70" s="40">
        <v>25</v>
      </c>
      <c r="E70" s="11"/>
      <c r="F70" s="36"/>
      <c r="G70" s="36"/>
      <c r="H70" s="36"/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55</v>
      </c>
      <c r="D71" s="40">
        <v>25</v>
      </c>
      <c r="E71" s="11"/>
      <c r="F71" s="36"/>
      <c r="G71" s="36"/>
      <c r="H71" s="36"/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56</v>
      </c>
      <c r="D72" s="40">
        <v>25</v>
      </c>
      <c r="E72" s="11"/>
      <c r="F72" s="36"/>
      <c r="G72" s="36"/>
      <c r="H72" s="36"/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1000</v>
      </c>
      <c r="C73" s="10" t="s">
        <v>52</v>
      </c>
      <c r="D73" s="40">
        <v>35</v>
      </c>
      <c r="E73" s="11"/>
      <c r="F73" s="36"/>
      <c r="G73" s="36"/>
      <c r="H73" s="36"/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53</v>
      </c>
      <c r="D74" s="40">
        <v>35</v>
      </c>
      <c r="E74" s="11"/>
      <c r="F74" s="36"/>
      <c r="G74" s="36"/>
      <c r="H74" s="36"/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54</v>
      </c>
      <c r="D75" s="40">
        <v>35</v>
      </c>
      <c r="E75" s="11"/>
      <c r="F75" s="36"/>
      <c r="G75" s="36"/>
      <c r="H75" s="36"/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55</v>
      </c>
      <c r="D76" s="40">
        <v>35</v>
      </c>
      <c r="E76" s="11"/>
      <c r="F76" s="36"/>
      <c r="G76" s="36"/>
      <c r="H76" s="36"/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56</v>
      </c>
      <c r="D77" s="40">
        <v>35</v>
      </c>
      <c r="E77" s="11"/>
      <c r="F77" s="36"/>
      <c r="G77" s="36"/>
      <c r="H77" s="36"/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A78">
        <v>599461</v>
      </c>
      <c r="B78" s="18">
        <v>145</v>
      </c>
      <c r="C78" s="10" t="s">
        <v>63</v>
      </c>
      <c r="D78" s="40">
        <v>15</v>
      </c>
      <c r="E78" s="11"/>
      <c r="F78" s="36"/>
      <c r="G78" s="36"/>
      <c r="H78" s="36"/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B79" s="9">
        <v>145</v>
      </c>
      <c r="C79" s="10" t="s">
        <v>64</v>
      </c>
      <c r="D79" s="40">
        <v>15</v>
      </c>
      <c r="E79" s="11"/>
      <c r="F79" s="36"/>
      <c r="G79" s="36"/>
      <c r="H79" s="36"/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65</v>
      </c>
      <c r="D80" s="40">
        <v>15</v>
      </c>
      <c r="E80" s="11"/>
      <c r="F80" s="36"/>
      <c r="G80" s="36"/>
      <c r="H80" s="36"/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A81">
        <v>522287</v>
      </c>
      <c r="B81" s="9">
        <v>360</v>
      </c>
      <c r="C81" s="10" t="s">
        <v>66</v>
      </c>
      <c r="D81" s="40">
        <v>20</v>
      </c>
      <c r="E81" s="11"/>
      <c r="F81" s="36"/>
      <c r="G81" s="36"/>
      <c r="H81" s="36"/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522286</v>
      </c>
      <c r="B82" s="18">
        <v>360</v>
      </c>
      <c r="C82" s="10" t="s">
        <v>67</v>
      </c>
      <c r="D82" s="40">
        <v>20</v>
      </c>
      <c r="E82" s="11"/>
      <c r="F82" s="36"/>
      <c r="G82" s="36"/>
      <c r="H82" s="36"/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522278</v>
      </c>
      <c r="B83" s="18">
        <v>360</v>
      </c>
      <c r="C83" s="10" t="s">
        <v>68</v>
      </c>
      <c r="D83" s="40">
        <v>20</v>
      </c>
      <c r="E83" s="11"/>
      <c r="F83" s="36"/>
      <c r="G83" s="36"/>
      <c r="H83" s="36"/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B84" s="9">
        <v>360</v>
      </c>
      <c r="C84" s="10" t="s">
        <v>69</v>
      </c>
      <c r="D84" s="40">
        <v>20</v>
      </c>
      <c r="E84" s="11"/>
      <c r="F84" s="36"/>
      <c r="G84" s="36"/>
      <c r="H84" s="36"/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70</v>
      </c>
      <c r="D85" s="40">
        <v>20</v>
      </c>
      <c r="E85" s="11"/>
      <c r="F85" s="36"/>
      <c r="G85" s="36"/>
      <c r="H85" s="36"/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71</v>
      </c>
      <c r="D86" s="40">
        <v>20</v>
      </c>
      <c r="E86" s="11"/>
      <c r="F86" s="36"/>
      <c r="G86" s="36"/>
      <c r="H86" s="36"/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72</v>
      </c>
      <c r="D87" s="40">
        <v>20</v>
      </c>
      <c r="E87" s="11"/>
      <c r="F87" s="36"/>
      <c r="G87" s="36"/>
      <c r="H87" s="36"/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A88">
        <v>522501</v>
      </c>
      <c r="B88" s="9">
        <v>625</v>
      </c>
      <c r="C88" s="10" t="s">
        <v>66</v>
      </c>
      <c r="D88" s="40">
        <v>50</v>
      </c>
      <c r="E88" s="11">
        <v>27</v>
      </c>
      <c r="F88" s="36">
        <v>8</v>
      </c>
      <c r="G88" s="36"/>
      <c r="H88" s="36">
        <v>2</v>
      </c>
      <c r="I88" s="13">
        <f t="shared" si="5"/>
        <v>37</v>
      </c>
      <c r="J88" s="12"/>
      <c r="K88" s="14">
        <f>I88-J88</f>
        <v>37</v>
      </c>
      <c r="L88">
        <v>37</v>
      </c>
      <c r="M88" s="34">
        <f t="shared" si="6"/>
        <v>0</v>
      </c>
      <c r="N88" s="43">
        <f t="shared" si="7"/>
        <v>1850</v>
      </c>
    </row>
    <row r="89" spans="1:14" ht="15.75" x14ac:dyDescent="0.25">
      <c r="A89">
        <v>522502</v>
      </c>
      <c r="B89" s="9">
        <v>625</v>
      </c>
      <c r="C89" s="10" t="s">
        <v>68</v>
      </c>
      <c r="D89" s="40">
        <v>50</v>
      </c>
      <c r="E89" s="11">
        <v>57</v>
      </c>
      <c r="F89" s="36">
        <v>1</v>
      </c>
      <c r="G89" s="36"/>
      <c r="H89" s="36">
        <v>1</v>
      </c>
      <c r="I89" s="13">
        <f t="shared" si="5"/>
        <v>59</v>
      </c>
      <c r="J89" s="12"/>
      <c r="K89" s="14">
        <f t="shared" si="4"/>
        <v>59</v>
      </c>
      <c r="L89">
        <v>59</v>
      </c>
      <c r="M89" s="34">
        <f t="shared" si="6"/>
        <v>0</v>
      </c>
      <c r="N89" s="43">
        <f t="shared" si="7"/>
        <v>2950</v>
      </c>
    </row>
    <row r="90" spans="1:14" ht="15.75" x14ac:dyDescent="0.25">
      <c r="A90">
        <v>522500</v>
      </c>
      <c r="B90" s="9">
        <v>625</v>
      </c>
      <c r="C90" s="10" t="s">
        <v>67</v>
      </c>
      <c r="D90" s="40">
        <v>50</v>
      </c>
      <c r="E90" s="11">
        <v>158</v>
      </c>
      <c r="F90" s="36">
        <v>12</v>
      </c>
      <c r="G90" s="36"/>
      <c r="H90" s="36"/>
      <c r="I90" s="13">
        <f t="shared" si="5"/>
        <v>170</v>
      </c>
      <c r="J90" s="12"/>
      <c r="K90" s="14">
        <f t="shared" si="4"/>
        <v>170</v>
      </c>
      <c r="L90">
        <v>170</v>
      </c>
      <c r="M90" s="34">
        <f t="shared" si="6"/>
        <v>0</v>
      </c>
      <c r="N90" s="43">
        <f t="shared" si="7"/>
        <v>8500</v>
      </c>
    </row>
    <row r="91" spans="1:14" ht="15.75" x14ac:dyDescent="0.25">
      <c r="A91">
        <v>522499</v>
      </c>
      <c r="B91" s="9">
        <v>625</v>
      </c>
      <c r="C91" s="10" t="s">
        <v>73</v>
      </c>
      <c r="D91" s="40">
        <v>50</v>
      </c>
      <c r="E91" s="11"/>
      <c r="F91" s="36"/>
      <c r="G91" s="36"/>
      <c r="H91" s="36"/>
      <c r="I91" s="13">
        <f t="shared" si="5"/>
        <v>0</v>
      </c>
      <c r="J91" s="12"/>
      <c r="K91" s="14">
        <f t="shared" si="4"/>
        <v>0</v>
      </c>
      <c r="M91" s="34">
        <f t="shared" si="6"/>
        <v>0</v>
      </c>
      <c r="N91" s="43">
        <f t="shared" si="7"/>
        <v>0</v>
      </c>
    </row>
    <row r="92" spans="1:14" ht="15.75" x14ac:dyDescent="0.25">
      <c r="B92" s="9">
        <v>625</v>
      </c>
      <c r="C92" s="10" t="s">
        <v>70</v>
      </c>
      <c r="D92" s="40">
        <v>50</v>
      </c>
      <c r="E92" s="11"/>
      <c r="F92" s="36"/>
      <c r="G92" s="36"/>
      <c r="H92" s="36"/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A93">
        <v>522496</v>
      </c>
      <c r="B93" s="9">
        <v>625</v>
      </c>
      <c r="C93" s="10" t="s">
        <v>71</v>
      </c>
      <c r="D93" s="40">
        <v>50</v>
      </c>
      <c r="E93" s="11">
        <v>14</v>
      </c>
      <c r="F93" s="36">
        <v>10</v>
      </c>
      <c r="G93" s="36"/>
      <c r="H93" s="36">
        <v>13</v>
      </c>
      <c r="I93" s="13">
        <f t="shared" si="5"/>
        <v>37</v>
      </c>
      <c r="J93" s="12"/>
      <c r="K93" s="14">
        <f t="shared" si="4"/>
        <v>37</v>
      </c>
      <c r="L93">
        <v>37</v>
      </c>
      <c r="M93" s="34">
        <f t="shared" si="6"/>
        <v>0</v>
      </c>
      <c r="N93" s="43">
        <f t="shared" si="7"/>
        <v>1850</v>
      </c>
    </row>
    <row r="94" spans="1:14" ht="15.75" x14ac:dyDescent="0.25">
      <c r="A94">
        <v>522498</v>
      </c>
      <c r="B94" s="9">
        <v>625</v>
      </c>
      <c r="C94" s="10" t="s">
        <v>74</v>
      </c>
      <c r="D94" s="40">
        <v>50</v>
      </c>
      <c r="E94" s="11"/>
      <c r="F94" s="36"/>
      <c r="G94" s="36"/>
      <c r="H94" s="36"/>
      <c r="I94" s="13">
        <f t="shared" si="5"/>
        <v>0</v>
      </c>
      <c r="J94" s="12"/>
      <c r="K94" s="14">
        <f t="shared" si="4"/>
        <v>0</v>
      </c>
      <c r="M94" s="34">
        <f t="shared" si="6"/>
        <v>0</v>
      </c>
      <c r="N94" s="43">
        <f t="shared" si="7"/>
        <v>0</v>
      </c>
    </row>
    <row r="95" spans="1:14" ht="15.75" x14ac:dyDescent="0.25">
      <c r="A95">
        <v>517507</v>
      </c>
      <c r="B95" s="18">
        <v>500</v>
      </c>
      <c r="C95" s="17" t="s">
        <v>75</v>
      </c>
      <c r="D95" s="40">
        <v>35</v>
      </c>
      <c r="E95" s="11">
        <v>32</v>
      </c>
      <c r="F95" s="36"/>
      <c r="G95" s="36">
        <v>1</v>
      </c>
      <c r="H95" s="36">
        <v>6</v>
      </c>
      <c r="I95" s="13">
        <f t="shared" si="5"/>
        <v>39</v>
      </c>
      <c r="J95" s="12"/>
      <c r="K95" s="14">
        <f t="shared" si="4"/>
        <v>39</v>
      </c>
      <c r="L95">
        <v>39</v>
      </c>
      <c r="M95" s="34">
        <f t="shared" si="6"/>
        <v>0</v>
      </c>
      <c r="N95" s="43">
        <f t="shared" si="7"/>
        <v>1365</v>
      </c>
    </row>
    <row r="96" spans="1:14" ht="15.75" x14ac:dyDescent="0.25">
      <c r="A96">
        <v>517499</v>
      </c>
      <c r="B96" s="18">
        <v>360</v>
      </c>
      <c r="C96" s="17" t="s">
        <v>75</v>
      </c>
      <c r="D96" s="40">
        <v>25</v>
      </c>
      <c r="E96" s="11"/>
      <c r="F96" s="36">
        <v>6</v>
      </c>
      <c r="G96" s="36">
        <v>3</v>
      </c>
      <c r="H96" s="36"/>
      <c r="I96" s="13">
        <f t="shared" si="5"/>
        <v>9</v>
      </c>
      <c r="J96" s="12"/>
      <c r="K96" s="14">
        <f t="shared" si="4"/>
        <v>9</v>
      </c>
      <c r="L96">
        <v>9</v>
      </c>
      <c r="M96" s="34">
        <f t="shared" si="6"/>
        <v>0</v>
      </c>
      <c r="N96" s="43">
        <f t="shared" si="7"/>
        <v>225</v>
      </c>
    </row>
    <row r="97" spans="1:14" ht="15.75" x14ac:dyDescent="0.25">
      <c r="B97" s="9">
        <v>625</v>
      </c>
      <c r="C97" s="10" t="s">
        <v>76</v>
      </c>
      <c r="D97" s="40">
        <v>44.5</v>
      </c>
      <c r="E97" s="11"/>
      <c r="F97" s="36"/>
      <c r="G97" s="36"/>
      <c r="H97" s="36"/>
      <c r="I97" s="13">
        <f t="shared" si="5"/>
        <v>0</v>
      </c>
      <c r="J97" s="12"/>
      <c r="K97" s="14">
        <f t="shared" si="4"/>
        <v>0</v>
      </c>
      <c r="M97" s="34">
        <f t="shared" si="6"/>
        <v>0</v>
      </c>
      <c r="N97" s="43">
        <f t="shared" si="7"/>
        <v>0</v>
      </c>
    </row>
    <row r="98" spans="1:14" ht="15.75" x14ac:dyDescent="0.25">
      <c r="B98" s="9">
        <v>3030</v>
      </c>
      <c r="C98" s="10" t="s">
        <v>76</v>
      </c>
      <c r="D98" s="40">
        <v>56</v>
      </c>
      <c r="E98" s="11"/>
      <c r="F98" s="36"/>
      <c r="G98" s="36"/>
      <c r="H98" s="36"/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355</v>
      </c>
      <c r="C99" s="10" t="s">
        <v>18</v>
      </c>
      <c r="D99" s="40">
        <v>44.5</v>
      </c>
      <c r="E99" s="11"/>
      <c r="F99" s="36"/>
      <c r="G99" s="36"/>
      <c r="H99" s="36"/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911</v>
      </c>
      <c r="C100" s="10" t="s">
        <v>77</v>
      </c>
      <c r="D100" s="40">
        <v>22.5</v>
      </c>
      <c r="E100" s="11"/>
      <c r="F100" s="36"/>
      <c r="G100" s="36"/>
      <c r="H100" s="36"/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A101">
        <v>500386</v>
      </c>
      <c r="B101" s="9">
        <v>355</v>
      </c>
      <c r="C101" s="10" t="s">
        <v>21</v>
      </c>
      <c r="D101" s="40">
        <v>15</v>
      </c>
      <c r="E101" s="11"/>
      <c r="F101" s="36"/>
      <c r="G101" s="36"/>
      <c r="H101" s="36"/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598944</v>
      </c>
      <c r="B102" s="20">
        <v>355</v>
      </c>
      <c r="C102" s="21" t="s">
        <v>14</v>
      </c>
      <c r="D102" s="40">
        <v>15</v>
      </c>
      <c r="E102" s="11"/>
      <c r="F102" s="36"/>
      <c r="G102" s="36"/>
      <c r="H102" s="36"/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B103" s="20">
        <v>355</v>
      </c>
      <c r="C103" s="21" t="s">
        <v>16</v>
      </c>
      <c r="D103" s="40">
        <v>15</v>
      </c>
      <c r="E103" s="11"/>
      <c r="F103" s="36"/>
      <c r="G103" s="36"/>
      <c r="H103" s="36"/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A104">
        <v>598947</v>
      </c>
      <c r="B104" s="20">
        <v>355</v>
      </c>
      <c r="C104" s="21" t="s">
        <v>15</v>
      </c>
      <c r="D104" s="40">
        <v>15</v>
      </c>
      <c r="E104" s="11"/>
      <c r="F104" s="36"/>
      <c r="G104" s="36"/>
      <c r="H104" s="36"/>
      <c r="I104" s="13">
        <f t="shared" si="5"/>
        <v>0</v>
      </c>
      <c r="J104" s="12"/>
      <c r="K104" s="14"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598943</v>
      </c>
      <c r="B105" s="20">
        <v>355</v>
      </c>
      <c r="C105" s="21" t="s">
        <v>17</v>
      </c>
      <c r="D105" s="40">
        <v>15</v>
      </c>
      <c r="E105" s="11"/>
      <c r="F105" s="36"/>
      <c r="G105" s="36"/>
      <c r="H105" s="36"/>
      <c r="I105" s="13">
        <f t="shared" si="5"/>
        <v>0</v>
      </c>
      <c r="J105" s="12"/>
      <c r="K105" s="14">
        <f t="shared" si="4"/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B106" s="20">
        <v>355</v>
      </c>
      <c r="C106" s="21" t="s">
        <v>78</v>
      </c>
      <c r="D106" s="40">
        <v>15</v>
      </c>
      <c r="E106" s="11"/>
      <c r="F106" s="36"/>
      <c r="G106" s="36"/>
      <c r="H106" s="36"/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79</v>
      </c>
      <c r="D107" s="40">
        <v>15</v>
      </c>
      <c r="E107" s="11"/>
      <c r="F107" s="36"/>
      <c r="G107" s="36"/>
      <c r="H107" s="36"/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80</v>
      </c>
      <c r="D108" s="40">
        <v>15</v>
      </c>
      <c r="E108" s="11"/>
      <c r="F108" s="36"/>
      <c r="G108" s="36"/>
      <c r="H108" s="36"/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145</v>
      </c>
      <c r="C109" s="21" t="s">
        <v>70</v>
      </c>
      <c r="D109" s="40">
        <v>10</v>
      </c>
      <c r="E109" s="11"/>
      <c r="F109" s="36"/>
      <c r="G109" s="36"/>
      <c r="H109" s="36"/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68</v>
      </c>
      <c r="D110" s="40">
        <v>10</v>
      </c>
      <c r="E110" s="11"/>
      <c r="F110" s="36"/>
      <c r="G110" s="36"/>
      <c r="H110" s="36"/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73</v>
      </c>
      <c r="D111" s="40">
        <v>10</v>
      </c>
      <c r="E111" s="11"/>
      <c r="F111" s="36"/>
      <c r="G111" s="36"/>
      <c r="H111" s="36"/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/>
      <c r="C112" s="21" t="s">
        <v>66</v>
      </c>
      <c r="D112" s="40">
        <v>10</v>
      </c>
      <c r="E112" s="11"/>
      <c r="F112" s="36"/>
      <c r="G112" s="36"/>
      <c r="H112" s="36"/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81</v>
      </c>
      <c r="D113" s="40">
        <v>10</v>
      </c>
      <c r="E113" s="11"/>
      <c r="F113" s="36"/>
      <c r="G113" s="36"/>
      <c r="H113" s="36"/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74</v>
      </c>
      <c r="D114" s="40">
        <v>10</v>
      </c>
      <c r="E114" s="11"/>
      <c r="F114" s="36"/>
      <c r="G114" s="36"/>
      <c r="H114" s="36"/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82</v>
      </c>
      <c r="D115" s="40">
        <v>10</v>
      </c>
      <c r="E115" s="11"/>
      <c r="F115" s="36"/>
      <c r="G115" s="36"/>
      <c r="H115" s="36"/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>
        <v>250</v>
      </c>
      <c r="C116" s="21" t="s">
        <v>12</v>
      </c>
      <c r="D116" s="40">
        <v>41</v>
      </c>
      <c r="E116" s="11"/>
      <c r="F116" s="36"/>
      <c r="G116" s="36"/>
      <c r="H116" s="36"/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83</v>
      </c>
      <c r="D117" s="40">
        <v>25</v>
      </c>
      <c r="E117" s="11"/>
      <c r="F117" s="36"/>
      <c r="G117" s="36"/>
      <c r="H117" s="36"/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1000</v>
      </c>
      <c r="C118" s="21" t="s">
        <v>83</v>
      </c>
      <c r="D118" s="40">
        <v>30</v>
      </c>
      <c r="E118" s="11"/>
      <c r="F118" s="36"/>
      <c r="G118" s="36"/>
      <c r="H118" s="36"/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250</v>
      </c>
      <c r="C119" s="21" t="s">
        <v>84</v>
      </c>
      <c r="D119" s="40">
        <v>25</v>
      </c>
      <c r="E119" s="11"/>
      <c r="F119" s="36"/>
      <c r="G119" s="36"/>
      <c r="H119" s="36"/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A120">
        <v>522665</v>
      </c>
      <c r="B120" s="22">
        <v>1.5</v>
      </c>
      <c r="C120" s="23" t="s">
        <v>85</v>
      </c>
      <c r="D120" s="40">
        <v>50</v>
      </c>
      <c r="E120" s="11">
        <v>20</v>
      </c>
      <c r="F120" s="36">
        <v>4</v>
      </c>
      <c r="G120" s="36"/>
      <c r="H120" s="36"/>
      <c r="I120" s="13">
        <f t="shared" si="5"/>
        <v>24</v>
      </c>
      <c r="J120" s="12"/>
      <c r="K120" s="14">
        <f t="shared" si="4"/>
        <v>24</v>
      </c>
      <c r="L120">
        <v>24</v>
      </c>
      <c r="M120" s="34">
        <f t="shared" si="6"/>
        <v>0</v>
      </c>
      <c r="N120" s="43">
        <f t="shared" si="7"/>
        <v>1200</v>
      </c>
    </row>
    <row r="121" spans="1:14" ht="15.75" x14ac:dyDescent="0.25">
      <c r="A121">
        <v>522664</v>
      </c>
      <c r="B121" s="20">
        <v>1.5</v>
      </c>
      <c r="C121" s="21" t="s">
        <v>86</v>
      </c>
      <c r="D121" s="40">
        <v>50</v>
      </c>
      <c r="E121" s="11">
        <v>20</v>
      </c>
      <c r="F121" s="36">
        <v>6</v>
      </c>
      <c r="G121" s="36"/>
      <c r="H121" s="36"/>
      <c r="I121" s="13">
        <f t="shared" si="5"/>
        <v>26</v>
      </c>
      <c r="J121" s="12"/>
      <c r="K121" s="14">
        <f t="shared" si="4"/>
        <v>26</v>
      </c>
      <c r="L121">
        <v>26</v>
      </c>
      <c r="M121" s="34">
        <f t="shared" si="6"/>
        <v>0</v>
      </c>
      <c r="N121" s="43">
        <f t="shared" si="7"/>
        <v>1300</v>
      </c>
    </row>
    <row r="122" spans="1:14" ht="15.75" x14ac:dyDescent="0.25">
      <c r="B122" s="24">
        <v>250</v>
      </c>
      <c r="C122" s="21" t="s">
        <v>13</v>
      </c>
      <c r="D122" s="40">
        <v>41</v>
      </c>
      <c r="E122" s="11"/>
      <c r="F122" s="36"/>
      <c r="G122" s="36"/>
      <c r="H122" s="36"/>
      <c r="I122" s="13">
        <f t="shared" si="5"/>
        <v>0</v>
      </c>
      <c r="J122" s="12"/>
      <c r="K122" s="14">
        <f t="shared" ref="K122:K183" si="8">I122-J122</f>
        <v>0</v>
      </c>
      <c r="M122" s="34">
        <f t="shared" si="6"/>
        <v>0</v>
      </c>
      <c r="N122" s="43">
        <f t="shared" si="7"/>
        <v>0</v>
      </c>
    </row>
    <row r="123" spans="1:14" ht="15.75" x14ac:dyDescent="0.25">
      <c r="B123" s="20">
        <v>360</v>
      </c>
      <c r="C123" s="21" t="s">
        <v>87</v>
      </c>
      <c r="D123" s="40">
        <v>25</v>
      </c>
      <c r="E123" s="11"/>
      <c r="F123" s="36"/>
      <c r="G123" s="36"/>
      <c r="H123" s="36"/>
      <c r="I123" s="13">
        <f t="shared" si="5"/>
        <v>0</v>
      </c>
      <c r="J123" s="12"/>
      <c r="K123" s="14">
        <f t="shared" si="8"/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1000</v>
      </c>
      <c r="C124" s="21" t="s">
        <v>75</v>
      </c>
      <c r="D124" s="40">
        <v>75</v>
      </c>
      <c r="E124" s="11"/>
      <c r="F124" s="36"/>
      <c r="G124" s="36"/>
      <c r="H124" s="36"/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355</v>
      </c>
      <c r="C125" s="21" t="s">
        <v>88</v>
      </c>
      <c r="D125" s="40">
        <v>15</v>
      </c>
      <c r="E125" s="11"/>
      <c r="F125" s="36"/>
      <c r="G125" s="36"/>
      <c r="H125" s="36"/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330</v>
      </c>
      <c r="C126" s="21" t="s">
        <v>89</v>
      </c>
      <c r="D126" s="40">
        <v>20</v>
      </c>
      <c r="E126" s="11"/>
      <c r="F126" s="36"/>
      <c r="G126" s="36"/>
      <c r="H126" s="36"/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90</v>
      </c>
      <c r="D127" s="40">
        <v>20</v>
      </c>
      <c r="E127" s="11"/>
      <c r="F127" s="36"/>
      <c r="G127" s="36"/>
      <c r="H127" s="36"/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91</v>
      </c>
      <c r="D128" s="40">
        <v>20</v>
      </c>
      <c r="E128" s="11"/>
      <c r="F128" s="36"/>
      <c r="G128" s="36"/>
      <c r="H128" s="36"/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92</v>
      </c>
      <c r="D129" s="40">
        <v>20</v>
      </c>
      <c r="E129" s="11"/>
      <c r="F129" s="36"/>
      <c r="G129" s="36"/>
      <c r="H129" s="36"/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93</v>
      </c>
      <c r="D130" s="40">
        <v>20</v>
      </c>
      <c r="E130" s="11"/>
      <c r="F130" s="36"/>
      <c r="G130" s="36"/>
      <c r="H130" s="36"/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94</v>
      </c>
      <c r="D131" s="40">
        <v>20</v>
      </c>
      <c r="E131" s="11"/>
      <c r="F131" s="36"/>
      <c r="G131" s="36"/>
      <c r="H131" s="36"/>
      <c r="I131" s="13">
        <f t="shared" ref="I131:I183" si="9">E131+F131+G131+H131</f>
        <v>0</v>
      </c>
      <c r="J131" s="12"/>
      <c r="K131" s="14">
        <f t="shared" si="8"/>
        <v>0</v>
      </c>
      <c r="M131" s="34">
        <f t="shared" ref="M131:M183" si="10">L131-I131</f>
        <v>0</v>
      </c>
      <c r="N131" s="43">
        <f t="shared" ref="N131:N183" si="11">D131*I131</f>
        <v>0</v>
      </c>
    </row>
    <row r="132" spans="1:14" ht="15.75" x14ac:dyDescent="0.25">
      <c r="B132" s="20">
        <v>330</v>
      </c>
      <c r="C132" s="21" t="s">
        <v>95</v>
      </c>
      <c r="D132" s="40">
        <v>20</v>
      </c>
      <c r="E132" s="11"/>
      <c r="F132" s="36"/>
      <c r="G132" s="36"/>
      <c r="H132" s="36"/>
      <c r="I132" s="13">
        <f t="shared" si="9"/>
        <v>0</v>
      </c>
      <c r="J132" s="12"/>
      <c r="K132" s="14">
        <f t="shared" si="8"/>
        <v>0</v>
      </c>
      <c r="M132" s="34">
        <f t="shared" si="10"/>
        <v>0</v>
      </c>
      <c r="N132" s="43">
        <f t="shared" si="11"/>
        <v>0</v>
      </c>
    </row>
    <row r="133" spans="1:14" ht="15.75" x14ac:dyDescent="0.25">
      <c r="B133" s="20">
        <v>330</v>
      </c>
      <c r="C133" s="21" t="s">
        <v>96</v>
      </c>
      <c r="D133" s="40">
        <v>20</v>
      </c>
      <c r="E133" s="11"/>
      <c r="F133" s="36"/>
      <c r="G133" s="36"/>
      <c r="H133" s="36"/>
      <c r="I133" s="13">
        <f t="shared" si="9"/>
        <v>0</v>
      </c>
      <c r="J133" s="12"/>
      <c r="K133" s="14">
        <f t="shared" si="8"/>
        <v>0</v>
      </c>
      <c r="M133" s="34">
        <f t="shared" si="10"/>
        <v>0</v>
      </c>
      <c r="N133" s="43">
        <f t="shared" si="11"/>
        <v>0</v>
      </c>
    </row>
    <row r="134" spans="1:14" ht="15.75" x14ac:dyDescent="0.25">
      <c r="B134" s="20">
        <v>330</v>
      </c>
      <c r="C134" s="21" t="s">
        <v>97</v>
      </c>
      <c r="D134" s="40">
        <v>20</v>
      </c>
      <c r="E134" s="11"/>
      <c r="F134" s="36"/>
      <c r="G134" s="36"/>
      <c r="H134" s="36"/>
      <c r="I134" s="13">
        <f t="shared" si="9"/>
        <v>0</v>
      </c>
      <c r="J134" s="12"/>
      <c r="K134" s="14">
        <f t="shared" si="8"/>
        <v>0</v>
      </c>
      <c r="M134" s="34">
        <f t="shared" si="10"/>
        <v>0</v>
      </c>
      <c r="N134" s="43">
        <f t="shared" si="11"/>
        <v>0</v>
      </c>
    </row>
    <row r="135" spans="1:14" ht="15.75" x14ac:dyDescent="0.25">
      <c r="B135" s="20"/>
      <c r="C135" s="21" t="s">
        <v>98</v>
      </c>
      <c r="D135" s="40">
        <v>20</v>
      </c>
      <c r="E135" s="11"/>
      <c r="F135" s="36"/>
      <c r="G135" s="36"/>
      <c r="H135" s="36"/>
      <c r="I135" s="13">
        <f t="shared" si="9"/>
        <v>0</v>
      </c>
      <c r="J135" s="12"/>
      <c r="K135" s="14">
        <f t="shared" si="8"/>
        <v>0</v>
      </c>
      <c r="M135" s="34">
        <f t="shared" si="10"/>
        <v>0</v>
      </c>
      <c r="N135" s="43">
        <f t="shared" si="11"/>
        <v>0</v>
      </c>
    </row>
    <row r="136" spans="1:14" ht="15.75" x14ac:dyDescent="0.25">
      <c r="B136" s="24">
        <v>473</v>
      </c>
      <c r="C136" s="21" t="s">
        <v>43</v>
      </c>
      <c r="D136" s="40">
        <v>25</v>
      </c>
      <c r="E136" s="11"/>
      <c r="F136" s="36"/>
      <c r="G136" s="36"/>
      <c r="H136" s="36"/>
      <c r="I136" s="13">
        <f t="shared" si="9"/>
        <v>0</v>
      </c>
      <c r="J136" s="12"/>
      <c r="K136" s="14">
        <f t="shared" si="8"/>
        <v>0</v>
      </c>
      <c r="M136" s="34">
        <f t="shared" si="10"/>
        <v>0</v>
      </c>
      <c r="N136" s="43">
        <f t="shared" si="11"/>
        <v>0</v>
      </c>
    </row>
    <row r="137" spans="1:14" ht="15.75" x14ac:dyDescent="0.25">
      <c r="B137" s="24">
        <v>473</v>
      </c>
      <c r="C137" s="21" t="s">
        <v>45</v>
      </c>
      <c r="D137" s="40">
        <v>25</v>
      </c>
      <c r="E137" s="11"/>
      <c r="F137" s="36"/>
      <c r="G137" s="36"/>
      <c r="H137" s="36"/>
      <c r="I137" s="13">
        <f t="shared" si="9"/>
        <v>0</v>
      </c>
      <c r="J137" s="12"/>
      <c r="K137" s="14">
        <f t="shared" si="8"/>
        <v>0</v>
      </c>
      <c r="M137" s="34">
        <f t="shared" si="10"/>
        <v>0</v>
      </c>
      <c r="N137" s="43">
        <f t="shared" si="11"/>
        <v>0</v>
      </c>
    </row>
    <row r="138" spans="1:14" ht="15.75" x14ac:dyDescent="0.25">
      <c r="A138">
        <v>599675</v>
      </c>
      <c r="B138" s="24">
        <v>473</v>
      </c>
      <c r="C138" s="21" t="s">
        <v>99</v>
      </c>
      <c r="D138" s="40">
        <v>25</v>
      </c>
      <c r="E138" s="11"/>
      <c r="F138" s="36"/>
      <c r="G138" s="36"/>
      <c r="H138" s="36"/>
      <c r="I138" s="13">
        <f t="shared" si="9"/>
        <v>0</v>
      </c>
      <c r="J138" s="12"/>
      <c r="K138" s="14">
        <f t="shared" si="8"/>
        <v>0</v>
      </c>
      <c r="M138" s="34">
        <f t="shared" si="10"/>
        <v>0</v>
      </c>
      <c r="N138" s="43">
        <f t="shared" si="11"/>
        <v>0</v>
      </c>
    </row>
    <row r="139" spans="1:14" ht="15.75" x14ac:dyDescent="0.25">
      <c r="B139" s="20">
        <v>473</v>
      </c>
      <c r="C139" s="21" t="s">
        <v>46</v>
      </c>
      <c r="D139" s="40">
        <v>25</v>
      </c>
      <c r="E139" s="11"/>
      <c r="F139" s="36"/>
      <c r="G139" s="36"/>
      <c r="H139" s="36"/>
      <c r="I139" s="13">
        <f t="shared" si="9"/>
        <v>0</v>
      </c>
      <c r="J139" s="12"/>
      <c r="K139" s="14">
        <f t="shared" si="8"/>
        <v>0</v>
      </c>
      <c r="M139" s="34">
        <f t="shared" si="10"/>
        <v>0</v>
      </c>
      <c r="N139" s="43">
        <f t="shared" si="11"/>
        <v>0</v>
      </c>
    </row>
    <row r="140" spans="1:14" ht="15.75" x14ac:dyDescent="0.25">
      <c r="A140">
        <v>522564</v>
      </c>
      <c r="B140" s="20">
        <v>473</v>
      </c>
      <c r="C140" s="21" t="s">
        <v>100</v>
      </c>
      <c r="D140" s="40">
        <v>25</v>
      </c>
      <c r="E140" s="11"/>
      <c r="F140" s="36"/>
      <c r="G140" s="36"/>
      <c r="H140" s="36"/>
      <c r="I140" s="13">
        <f t="shared" si="9"/>
        <v>0</v>
      </c>
      <c r="J140" s="12"/>
      <c r="K140" s="14">
        <f>I140-J140</f>
        <v>0</v>
      </c>
      <c r="M140" s="34">
        <f t="shared" si="10"/>
        <v>0</v>
      </c>
      <c r="N140" s="43">
        <f t="shared" si="11"/>
        <v>0</v>
      </c>
    </row>
    <row r="141" spans="1:14" ht="15.75" x14ac:dyDescent="0.25">
      <c r="B141" s="20">
        <v>625</v>
      </c>
      <c r="C141" s="21" t="s">
        <v>100</v>
      </c>
      <c r="D141" s="40">
        <v>62.5</v>
      </c>
      <c r="E141" s="11"/>
      <c r="F141" s="36"/>
      <c r="G141" s="36"/>
      <c r="H141" s="36"/>
      <c r="I141" s="13">
        <f t="shared" si="9"/>
        <v>0</v>
      </c>
      <c r="J141" s="12"/>
      <c r="K141" s="14">
        <f t="shared" si="8"/>
        <v>0</v>
      </c>
      <c r="M141" s="34">
        <f t="shared" si="10"/>
        <v>0</v>
      </c>
      <c r="N141" s="43">
        <f t="shared" si="11"/>
        <v>0</v>
      </c>
    </row>
    <row r="142" spans="1:14" ht="15.75" x14ac:dyDescent="0.25">
      <c r="A142" t="s">
        <v>101</v>
      </c>
      <c r="B142" s="20"/>
      <c r="C142" s="21" t="s">
        <v>102</v>
      </c>
      <c r="D142" s="40">
        <v>60</v>
      </c>
      <c r="E142" s="11"/>
      <c r="F142" s="36"/>
      <c r="G142" s="36"/>
      <c r="H142" s="36"/>
      <c r="I142" s="13">
        <f t="shared" si="9"/>
        <v>0</v>
      </c>
      <c r="J142" s="12"/>
      <c r="K142" s="14">
        <f t="shared" si="8"/>
        <v>0</v>
      </c>
      <c r="M142" s="34">
        <f t="shared" si="10"/>
        <v>0</v>
      </c>
      <c r="N142" s="43">
        <f t="shared" si="11"/>
        <v>0</v>
      </c>
    </row>
    <row r="143" spans="1:14" ht="15.75" x14ac:dyDescent="0.25">
      <c r="B143" s="20">
        <v>400</v>
      </c>
      <c r="C143" s="21" t="s">
        <v>103</v>
      </c>
      <c r="D143" s="40">
        <v>25</v>
      </c>
      <c r="E143" s="11"/>
      <c r="F143" s="36"/>
      <c r="G143" s="36"/>
      <c r="H143" s="36"/>
      <c r="I143" s="13">
        <f t="shared" si="9"/>
        <v>0</v>
      </c>
      <c r="J143" s="12"/>
      <c r="K143" s="14">
        <f t="shared" si="8"/>
        <v>0</v>
      </c>
      <c r="M143" s="34">
        <f t="shared" si="10"/>
        <v>0</v>
      </c>
      <c r="N143" s="43">
        <f t="shared" si="11"/>
        <v>0</v>
      </c>
    </row>
    <row r="144" spans="1:14" ht="15.75" x14ac:dyDescent="0.25">
      <c r="B144" s="20">
        <v>300</v>
      </c>
      <c r="C144" s="21" t="s">
        <v>43</v>
      </c>
      <c r="D144" s="40">
        <v>30</v>
      </c>
      <c r="E144" s="11"/>
      <c r="F144" s="36"/>
      <c r="G144" s="36"/>
      <c r="H144" s="36"/>
      <c r="I144" s="13">
        <f t="shared" si="9"/>
        <v>0</v>
      </c>
      <c r="J144" s="12"/>
      <c r="K144" s="14">
        <f t="shared" si="8"/>
        <v>0</v>
      </c>
      <c r="M144" s="34">
        <f t="shared" si="10"/>
        <v>0</v>
      </c>
      <c r="N144" s="43">
        <f t="shared" si="11"/>
        <v>0</v>
      </c>
    </row>
    <row r="145" spans="1:14" ht="15.75" x14ac:dyDescent="0.25">
      <c r="B145" s="20">
        <v>300</v>
      </c>
      <c r="C145" s="21" t="s">
        <v>45</v>
      </c>
      <c r="D145" s="40">
        <v>30</v>
      </c>
      <c r="E145" s="11"/>
      <c r="F145" s="36"/>
      <c r="G145" s="36"/>
      <c r="H145" s="36"/>
      <c r="I145" s="13">
        <f t="shared" si="9"/>
        <v>0</v>
      </c>
      <c r="J145" s="12"/>
      <c r="K145" s="14">
        <f t="shared" si="8"/>
        <v>0</v>
      </c>
      <c r="M145" s="34">
        <f t="shared" si="10"/>
        <v>0</v>
      </c>
      <c r="N145" s="43">
        <f t="shared" si="11"/>
        <v>0</v>
      </c>
    </row>
    <row r="146" spans="1:14" ht="15.75" x14ac:dyDescent="0.25">
      <c r="B146" s="20">
        <v>300</v>
      </c>
      <c r="C146" s="21" t="s">
        <v>44</v>
      </c>
      <c r="D146" s="40">
        <v>30</v>
      </c>
      <c r="E146" s="11"/>
      <c r="F146" s="36"/>
      <c r="G146" s="36"/>
      <c r="H146" s="36"/>
      <c r="I146" s="13">
        <f t="shared" si="9"/>
        <v>0</v>
      </c>
      <c r="J146" s="12"/>
      <c r="K146" s="14">
        <f t="shared" si="8"/>
        <v>0</v>
      </c>
      <c r="M146" s="34">
        <f t="shared" si="10"/>
        <v>0</v>
      </c>
      <c r="N146" s="43">
        <f t="shared" si="11"/>
        <v>0</v>
      </c>
    </row>
    <row r="147" spans="1:14" ht="15.75" x14ac:dyDescent="0.25">
      <c r="B147" s="20">
        <v>1090</v>
      </c>
      <c r="C147" s="21" t="s">
        <v>11</v>
      </c>
      <c r="D147" s="40">
        <v>25</v>
      </c>
      <c r="E147" s="11"/>
      <c r="F147" s="36"/>
      <c r="G147" s="36"/>
      <c r="H147" s="36"/>
      <c r="I147" s="13">
        <f t="shared" si="9"/>
        <v>0</v>
      </c>
      <c r="J147" s="12"/>
      <c r="K147" s="14">
        <f t="shared" si="8"/>
        <v>0</v>
      </c>
      <c r="M147" s="34">
        <f t="shared" si="10"/>
        <v>0</v>
      </c>
      <c r="N147" s="43">
        <f t="shared" si="11"/>
        <v>0</v>
      </c>
    </row>
    <row r="148" spans="1:14" ht="15.75" x14ac:dyDescent="0.25">
      <c r="B148" s="20">
        <v>2600</v>
      </c>
      <c r="C148" s="21" t="s">
        <v>11</v>
      </c>
      <c r="D148" s="40">
        <v>50</v>
      </c>
      <c r="E148" s="11"/>
      <c r="F148" s="36"/>
      <c r="G148" s="36"/>
      <c r="H148" s="36"/>
      <c r="I148" s="13">
        <f t="shared" si="9"/>
        <v>0</v>
      </c>
      <c r="J148" s="12"/>
      <c r="K148" s="14">
        <f t="shared" si="8"/>
        <v>0</v>
      </c>
      <c r="M148" s="34">
        <f t="shared" si="10"/>
        <v>0</v>
      </c>
      <c r="N148" s="43">
        <f t="shared" si="11"/>
        <v>0</v>
      </c>
    </row>
    <row r="149" spans="1:14" ht="15.75" x14ac:dyDescent="0.25">
      <c r="B149" s="20">
        <v>250</v>
      </c>
      <c r="C149" s="21" t="s">
        <v>104</v>
      </c>
      <c r="D149" s="40">
        <v>41</v>
      </c>
      <c r="E149" s="11"/>
      <c r="F149" s="36"/>
      <c r="G149" s="36"/>
      <c r="H149" s="36"/>
      <c r="I149" s="13">
        <f t="shared" si="9"/>
        <v>0</v>
      </c>
      <c r="J149" s="12"/>
      <c r="K149" s="14">
        <f t="shared" si="8"/>
        <v>0</v>
      </c>
      <c r="M149" s="34">
        <f t="shared" si="10"/>
        <v>0</v>
      </c>
      <c r="N149" s="43">
        <f t="shared" si="11"/>
        <v>0</v>
      </c>
    </row>
    <row r="150" spans="1:14" ht="15.75" x14ac:dyDescent="0.25">
      <c r="B150" s="20"/>
      <c r="C150" s="21" t="s">
        <v>105</v>
      </c>
      <c r="D150" s="40">
        <v>41</v>
      </c>
      <c r="E150" s="11"/>
      <c r="F150" s="36"/>
      <c r="G150" s="36"/>
      <c r="H150" s="36"/>
      <c r="I150" s="13">
        <f t="shared" si="9"/>
        <v>0</v>
      </c>
      <c r="J150" s="12"/>
      <c r="K150" s="14">
        <f t="shared" si="8"/>
        <v>0</v>
      </c>
      <c r="M150" s="34">
        <f t="shared" si="10"/>
        <v>0</v>
      </c>
      <c r="N150" s="43">
        <f t="shared" si="11"/>
        <v>0</v>
      </c>
    </row>
    <row r="151" spans="1:14" ht="15.75" x14ac:dyDescent="0.25">
      <c r="B151" s="20"/>
      <c r="C151" s="21" t="s">
        <v>16</v>
      </c>
      <c r="D151" s="40">
        <v>41</v>
      </c>
      <c r="E151" s="11"/>
      <c r="F151" s="36"/>
      <c r="G151" s="36"/>
      <c r="H151" s="36"/>
      <c r="I151" s="13">
        <f t="shared" si="9"/>
        <v>0</v>
      </c>
      <c r="J151" s="12"/>
      <c r="K151" s="14">
        <f t="shared" si="8"/>
        <v>0</v>
      </c>
      <c r="M151" s="34">
        <f t="shared" si="10"/>
        <v>0</v>
      </c>
      <c r="N151" s="43">
        <f t="shared" si="11"/>
        <v>0</v>
      </c>
    </row>
    <row r="152" spans="1:14" ht="15.75" x14ac:dyDescent="0.25">
      <c r="B152" s="20"/>
      <c r="C152" s="21" t="s">
        <v>106</v>
      </c>
      <c r="D152" s="40">
        <v>41</v>
      </c>
      <c r="E152" s="11"/>
      <c r="F152" s="36"/>
      <c r="G152" s="36"/>
      <c r="H152" s="36"/>
      <c r="I152" s="13">
        <f t="shared" si="9"/>
        <v>0</v>
      </c>
      <c r="J152" s="12"/>
      <c r="K152" s="14">
        <f t="shared" si="8"/>
        <v>0</v>
      </c>
      <c r="M152" s="34">
        <f t="shared" si="10"/>
        <v>0</v>
      </c>
      <c r="N152" s="43">
        <f t="shared" si="11"/>
        <v>0</v>
      </c>
    </row>
    <row r="153" spans="1:14" ht="15.75" x14ac:dyDescent="0.25">
      <c r="B153" s="20"/>
      <c r="C153" s="21" t="s">
        <v>107</v>
      </c>
      <c r="D153" s="40">
        <v>41</v>
      </c>
      <c r="E153" s="11"/>
      <c r="F153" s="36"/>
      <c r="G153" s="36"/>
      <c r="H153" s="36"/>
      <c r="I153" s="13">
        <f t="shared" si="9"/>
        <v>0</v>
      </c>
      <c r="J153" s="12"/>
      <c r="K153" s="14">
        <f t="shared" si="8"/>
        <v>0</v>
      </c>
      <c r="M153" s="34">
        <f t="shared" si="10"/>
        <v>0</v>
      </c>
      <c r="N153" s="43">
        <f t="shared" si="11"/>
        <v>0</v>
      </c>
    </row>
    <row r="154" spans="1:14" ht="15.75" x14ac:dyDescent="0.25">
      <c r="B154" s="20"/>
      <c r="C154" s="21" t="s">
        <v>108</v>
      </c>
      <c r="D154" s="40">
        <v>41</v>
      </c>
      <c r="E154" s="11"/>
      <c r="F154" s="36"/>
      <c r="G154" s="36"/>
      <c r="H154" s="36"/>
      <c r="I154" s="13">
        <f t="shared" si="9"/>
        <v>0</v>
      </c>
      <c r="J154" s="12"/>
      <c r="K154" s="14">
        <f t="shared" si="8"/>
        <v>0</v>
      </c>
      <c r="M154" s="34">
        <f t="shared" si="10"/>
        <v>0</v>
      </c>
      <c r="N154" s="43">
        <f t="shared" si="11"/>
        <v>0</v>
      </c>
    </row>
    <row r="155" spans="1:14" ht="15.75" x14ac:dyDescent="0.25">
      <c r="A155">
        <v>699952</v>
      </c>
      <c r="B155" s="20"/>
      <c r="C155" s="21" t="s">
        <v>109</v>
      </c>
      <c r="D155" s="40">
        <v>52.2</v>
      </c>
      <c r="E155" s="11"/>
      <c r="F155" s="36"/>
      <c r="G155" s="36"/>
      <c r="H155" s="36"/>
      <c r="I155" s="13">
        <f t="shared" si="9"/>
        <v>0</v>
      </c>
      <c r="J155" s="12"/>
      <c r="K155" s="14">
        <f t="shared" si="8"/>
        <v>0</v>
      </c>
      <c r="M155" s="34">
        <f t="shared" si="10"/>
        <v>0</v>
      </c>
      <c r="N155" s="43">
        <f t="shared" si="11"/>
        <v>0</v>
      </c>
    </row>
    <row r="156" spans="1:14" ht="15.75" x14ac:dyDescent="0.25">
      <c r="A156">
        <v>501020</v>
      </c>
      <c r="B156" s="24">
        <v>360</v>
      </c>
      <c r="C156" s="21" t="s">
        <v>110</v>
      </c>
      <c r="D156" s="40">
        <v>23.5</v>
      </c>
      <c r="E156" s="11">
        <v>100</v>
      </c>
      <c r="F156" s="36">
        <v>2</v>
      </c>
      <c r="G156" s="36"/>
      <c r="H156" s="36">
        <v>7</v>
      </c>
      <c r="I156" s="13">
        <f t="shared" si="9"/>
        <v>109</v>
      </c>
      <c r="J156" s="12"/>
      <c r="K156" s="14">
        <f t="shared" si="8"/>
        <v>109</v>
      </c>
      <c r="L156">
        <v>109</v>
      </c>
      <c r="M156" s="34">
        <f t="shared" si="10"/>
        <v>0</v>
      </c>
      <c r="N156" s="43">
        <f t="shared" si="11"/>
        <v>2561.5</v>
      </c>
    </row>
    <row r="157" spans="1:14" ht="15.75" x14ac:dyDescent="0.25">
      <c r="A157">
        <v>501505</v>
      </c>
      <c r="B157" s="24">
        <v>360</v>
      </c>
      <c r="C157" s="21" t="s">
        <v>17</v>
      </c>
      <c r="D157" s="40">
        <v>47</v>
      </c>
      <c r="E157" s="11"/>
      <c r="F157" s="36"/>
      <c r="G157" s="36"/>
      <c r="H157" s="36"/>
      <c r="I157" s="13">
        <f t="shared" si="9"/>
        <v>0</v>
      </c>
      <c r="J157" s="12"/>
      <c r="K157" s="14">
        <f t="shared" si="8"/>
        <v>0</v>
      </c>
      <c r="M157" s="34">
        <f t="shared" si="10"/>
        <v>0</v>
      </c>
      <c r="N157" s="43">
        <f t="shared" si="11"/>
        <v>0</v>
      </c>
    </row>
    <row r="158" spans="1:14" ht="15.75" x14ac:dyDescent="0.25">
      <c r="B158" s="20">
        <v>250</v>
      </c>
      <c r="C158" s="21" t="s">
        <v>111</v>
      </c>
      <c r="D158" s="40">
        <v>25</v>
      </c>
      <c r="E158" s="11"/>
      <c r="F158" s="36"/>
      <c r="G158" s="36"/>
      <c r="H158" s="36"/>
      <c r="I158" s="13">
        <f t="shared" si="9"/>
        <v>0</v>
      </c>
      <c r="J158" s="12"/>
      <c r="K158" s="14">
        <f t="shared" si="8"/>
        <v>0</v>
      </c>
      <c r="M158" s="34">
        <f t="shared" si="10"/>
        <v>0</v>
      </c>
      <c r="N158" s="43">
        <f t="shared" si="11"/>
        <v>0</v>
      </c>
    </row>
    <row r="159" spans="1:14" ht="15.75" x14ac:dyDescent="0.25">
      <c r="B159" s="20">
        <v>250</v>
      </c>
      <c r="C159" s="21" t="s">
        <v>112</v>
      </c>
      <c r="D159" s="40">
        <v>25</v>
      </c>
      <c r="E159" s="11"/>
      <c r="F159" s="36"/>
      <c r="G159" s="36"/>
      <c r="H159" s="36"/>
      <c r="I159" s="13">
        <f t="shared" si="9"/>
        <v>0</v>
      </c>
      <c r="J159" s="12"/>
      <c r="K159" s="14">
        <f t="shared" si="8"/>
        <v>0</v>
      </c>
      <c r="M159" s="34">
        <f t="shared" si="10"/>
        <v>0</v>
      </c>
      <c r="N159" s="43">
        <f t="shared" si="11"/>
        <v>0</v>
      </c>
    </row>
    <row r="160" spans="1:14" ht="15.75" x14ac:dyDescent="0.25">
      <c r="A160">
        <v>501207</v>
      </c>
      <c r="B160" s="20">
        <v>360</v>
      </c>
      <c r="C160" s="21" t="s">
        <v>113</v>
      </c>
      <c r="D160" s="40">
        <v>47</v>
      </c>
      <c r="E160" s="11"/>
      <c r="F160" s="36"/>
      <c r="G160" s="36"/>
      <c r="H160" s="36"/>
      <c r="I160" s="13">
        <f t="shared" si="9"/>
        <v>0</v>
      </c>
      <c r="J160" s="12"/>
      <c r="K160" s="14">
        <f t="shared" si="8"/>
        <v>0</v>
      </c>
      <c r="M160" s="34">
        <f t="shared" si="10"/>
        <v>0</v>
      </c>
      <c r="N160" s="43">
        <f t="shared" si="11"/>
        <v>0</v>
      </c>
    </row>
    <row r="161" spans="1:14" ht="15.75" x14ac:dyDescent="0.25">
      <c r="A161">
        <v>599858</v>
      </c>
      <c r="B161" s="22"/>
      <c r="C161" s="23" t="s">
        <v>114</v>
      </c>
      <c r="D161" s="40">
        <v>44</v>
      </c>
      <c r="E161" s="11"/>
      <c r="F161" s="36"/>
      <c r="G161" s="36"/>
      <c r="H161" s="36"/>
      <c r="I161" s="13">
        <f t="shared" si="9"/>
        <v>0</v>
      </c>
      <c r="J161" s="12"/>
      <c r="K161" s="14">
        <f t="shared" si="8"/>
        <v>0</v>
      </c>
      <c r="M161" s="34">
        <f t="shared" si="10"/>
        <v>0</v>
      </c>
      <c r="N161" s="43">
        <f t="shared" si="11"/>
        <v>0</v>
      </c>
    </row>
    <row r="162" spans="1:14" ht="15.75" x14ac:dyDescent="0.25">
      <c r="A162">
        <v>599857</v>
      </c>
      <c r="B162" s="22"/>
      <c r="C162" s="23" t="s">
        <v>115</v>
      </c>
      <c r="D162" s="40">
        <v>44</v>
      </c>
      <c r="E162" s="11"/>
      <c r="F162" s="36"/>
      <c r="G162" s="36"/>
      <c r="H162" s="36"/>
      <c r="I162" s="13">
        <f t="shared" si="9"/>
        <v>0</v>
      </c>
      <c r="J162" s="12"/>
      <c r="K162" s="14">
        <f t="shared" si="8"/>
        <v>0</v>
      </c>
      <c r="M162" s="34">
        <f t="shared" si="10"/>
        <v>0</v>
      </c>
      <c r="N162" s="43">
        <f t="shared" si="11"/>
        <v>0</v>
      </c>
    </row>
    <row r="163" spans="1:14" ht="15.75" x14ac:dyDescent="0.25">
      <c r="A163">
        <v>621972</v>
      </c>
      <c r="B163" s="20"/>
      <c r="C163" s="21" t="s">
        <v>116</v>
      </c>
      <c r="D163" s="40">
        <v>14.4</v>
      </c>
      <c r="E163" s="11"/>
      <c r="F163" s="36"/>
      <c r="G163" s="36"/>
      <c r="H163" s="36"/>
      <c r="I163" s="13">
        <f t="shared" si="9"/>
        <v>0</v>
      </c>
      <c r="J163" s="12"/>
      <c r="K163" s="14">
        <f t="shared" si="8"/>
        <v>0</v>
      </c>
      <c r="M163" s="34">
        <f t="shared" si="10"/>
        <v>0</v>
      </c>
      <c r="N163" s="43">
        <f t="shared" si="11"/>
        <v>0</v>
      </c>
    </row>
    <row r="164" spans="1:14" ht="15.75" x14ac:dyDescent="0.25">
      <c r="A164">
        <v>622165</v>
      </c>
      <c r="B164" s="20"/>
      <c r="C164" s="21" t="s">
        <v>117</v>
      </c>
      <c r="D164" s="40">
        <v>73.7</v>
      </c>
      <c r="E164" s="11"/>
      <c r="F164" s="36"/>
      <c r="G164" s="36"/>
      <c r="H164" s="36">
        <v>2</v>
      </c>
      <c r="I164" s="13">
        <f t="shared" si="9"/>
        <v>2</v>
      </c>
      <c r="J164" s="12"/>
      <c r="K164" s="14">
        <f t="shared" si="8"/>
        <v>2</v>
      </c>
      <c r="L164">
        <v>2</v>
      </c>
      <c r="M164" s="34">
        <f t="shared" si="10"/>
        <v>0</v>
      </c>
      <c r="N164" s="43">
        <f t="shared" si="11"/>
        <v>147.4</v>
      </c>
    </row>
    <row r="165" spans="1:14" ht="15.75" x14ac:dyDescent="0.25">
      <c r="B165" s="20">
        <v>300</v>
      </c>
      <c r="C165" s="21" t="s">
        <v>104</v>
      </c>
      <c r="D165" s="40">
        <v>40</v>
      </c>
      <c r="E165" s="11"/>
      <c r="F165" s="36"/>
      <c r="G165" s="36"/>
      <c r="H165" s="36"/>
      <c r="I165" s="13">
        <f t="shared" si="9"/>
        <v>0</v>
      </c>
      <c r="J165" s="12"/>
      <c r="K165" s="14">
        <f t="shared" si="8"/>
        <v>0</v>
      </c>
      <c r="M165" s="34">
        <f t="shared" si="10"/>
        <v>0</v>
      </c>
      <c r="N165" s="43">
        <f t="shared" si="11"/>
        <v>0</v>
      </c>
    </row>
    <row r="166" spans="1:14" ht="15.75" x14ac:dyDescent="0.25">
      <c r="A166">
        <v>622164</v>
      </c>
      <c r="B166" s="20"/>
      <c r="C166" s="21" t="s">
        <v>118</v>
      </c>
      <c r="D166" s="40">
        <v>30</v>
      </c>
      <c r="E166" s="11"/>
      <c r="F166" s="36"/>
      <c r="G166" s="36"/>
      <c r="H166" s="36"/>
      <c r="I166" s="13">
        <f t="shared" si="9"/>
        <v>0</v>
      </c>
      <c r="J166" s="12"/>
      <c r="K166" s="14">
        <f t="shared" si="8"/>
        <v>0</v>
      </c>
      <c r="M166" s="34">
        <f t="shared" si="10"/>
        <v>0</v>
      </c>
      <c r="N166" s="43">
        <f t="shared" si="11"/>
        <v>0</v>
      </c>
    </row>
    <row r="167" spans="1:14" ht="15.75" x14ac:dyDescent="0.25">
      <c r="A167">
        <v>621967</v>
      </c>
      <c r="B167" s="20"/>
      <c r="C167" s="21" t="s">
        <v>118</v>
      </c>
      <c r="D167" s="40">
        <v>90</v>
      </c>
      <c r="E167" s="11">
        <v>7</v>
      </c>
      <c r="F167" s="36">
        <v>1</v>
      </c>
      <c r="G167" s="36"/>
      <c r="H167" s="36">
        <v>1</v>
      </c>
      <c r="I167" s="13">
        <f t="shared" si="9"/>
        <v>9</v>
      </c>
      <c r="J167" s="12"/>
      <c r="K167" s="14">
        <f t="shared" si="8"/>
        <v>9</v>
      </c>
      <c r="L167">
        <v>9</v>
      </c>
      <c r="M167" s="34">
        <f t="shared" si="10"/>
        <v>0</v>
      </c>
      <c r="N167" s="43">
        <f t="shared" si="11"/>
        <v>810</v>
      </c>
    </row>
    <row r="168" spans="1:14" ht="15.75" x14ac:dyDescent="0.25">
      <c r="A168">
        <v>500032</v>
      </c>
      <c r="B168" s="24">
        <v>360</v>
      </c>
      <c r="C168" s="21" t="s">
        <v>104</v>
      </c>
      <c r="D168" s="40">
        <v>47</v>
      </c>
      <c r="E168" s="11"/>
      <c r="F168" s="36">
        <v>9</v>
      </c>
      <c r="G168" s="36">
        <v>5</v>
      </c>
      <c r="H168" s="36">
        <v>11</v>
      </c>
      <c r="I168" s="13">
        <f t="shared" si="9"/>
        <v>25</v>
      </c>
      <c r="J168" s="12"/>
      <c r="K168" s="14">
        <f t="shared" si="8"/>
        <v>25</v>
      </c>
      <c r="L168">
        <v>25</v>
      </c>
      <c r="M168" s="34">
        <f t="shared" si="10"/>
        <v>0</v>
      </c>
      <c r="N168" s="43">
        <f t="shared" si="11"/>
        <v>1175</v>
      </c>
    </row>
    <row r="169" spans="1:14" ht="15.75" x14ac:dyDescent="0.25">
      <c r="A169">
        <v>522459</v>
      </c>
      <c r="B169" s="24">
        <v>360</v>
      </c>
      <c r="C169" s="21" t="s">
        <v>119</v>
      </c>
      <c r="D169" s="40">
        <v>30</v>
      </c>
      <c r="E169" s="11">
        <v>121</v>
      </c>
      <c r="F169" s="36">
        <v>14</v>
      </c>
      <c r="G169" s="36">
        <v>15</v>
      </c>
      <c r="H169" s="36">
        <v>21</v>
      </c>
      <c r="I169" s="13">
        <f t="shared" si="9"/>
        <v>171</v>
      </c>
      <c r="J169" s="12"/>
      <c r="K169" s="14">
        <f t="shared" si="8"/>
        <v>171</v>
      </c>
      <c r="L169">
        <v>171</v>
      </c>
      <c r="M169" s="34">
        <f t="shared" si="10"/>
        <v>0</v>
      </c>
      <c r="N169" s="43">
        <f t="shared" si="11"/>
        <v>5130</v>
      </c>
    </row>
    <row r="170" spans="1:14" ht="15.75" x14ac:dyDescent="0.25">
      <c r="A170">
        <v>522451</v>
      </c>
      <c r="B170" s="24">
        <v>360</v>
      </c>
      <c r="C170" s="21" t="s">
        <v>120</v>
      </c>
      <c r="D170" s="40">
        <v>30</v>
      </c>
      <c r="E170" s="11">
        <v>44</v>
      </c>
      <c r="F170" s="36">
        <v>17</v>
      </c>
      <c r="G170" s="36">
        <v>1</v>
      </c>
      <c r="H170" s="36">
        <v>17</v>
      </c>
      <c r="I170" s="13">
        <f t="shared" si="9"/>
        <v>79</v>
      </c>
      <c r="J170" s="12"/>
      <c r="K170" s="14">
        <f t="shared" si="8"/>
        <v>79</v>
      </c>
      <c r="L170">
        <v>79</v>
      </c>
      <c r="M170" s="34">
        <f t="shared" si="10"/>
        <v>0</v>
      </c>
      <c r="N170" s="43">
        <f t="shared" si="11"/>
        <v>2370</v>
      </c>
    </row>
    <row r="171" spans="1:14" ht="15.75" x14ac:dyDescent="0.25">
      <c r="A171">
        <v>522450</v>
      </c>
      <c r="B171" s="24">
        <v>360</v>
      </c>
      <c r="C171" s="21" t="s">
        <v>121</v>
      </c>
      <c r="D171" s="40">
        <v>30</v>
      </c>
      <c r="E171" s="11">
        <v>38</v>
      </c>
      <c r="F171" s="36">
        <v>16</v>
      </c>
      <c r="G171" s="36">
        <v>4</v>
      </c>
      <c r="H171" s="36">
        <v>19</v>
      </c>
      <c r="I171" s="13">
        <f t="shared" si="9"/>
        <v>77</v>
      </c>
      <c r="J171" s="12"/>
      <c r="K171" s="14">
        <f t="shared" si="8"/>
        <v>77</v>
      </c>
      <c r="L171">
        <v>77</v>
      </c>
      <c r="M171" s="34">
        <f t="shared" si="10"/>
        <v>0</v>
      </c>
      <c r="N171" s="43">
        <f t="shared" si="11"/>
        <v>2310</v>
      </c>
    </row>
    <row r="172" spans="1:14" ht="15.75" x14ac:dyDescent="0.25">
      <c r="A172">
        <v>522461</v>
      </c>
      <c r="B172" s="20">
        <v>360</v>
      </c>
      <c r="C172" s="21" t="s">
        <v>122</v>
      </c>
      <c r="D172" s="40">
        <v>30</v>
      </c>
      <c r="E172" s="11"/>
      <c r="F172" s="36"/>
      <c r="G172" s="36"/>
      <c r="H172" s="36"/>
      <c r="I172" s="13">
        <f t="shared" si="9"/>
        <v>0</v>
      </c>
      <c r="J172" s="12"/>
      <c r="K172" s="14">
        <f t="shared" si="8"/>
        <v>0</v>
      </c>
      <c r="M172" s="34">
        <f t="shared" si="10"/>
        <v>0</v>
      </c>
      <c r="N172" s="43">
        <f t="shared" si="11"/>
        <v>0</v>
      </c>
    </row>
    <row r="173" spans="1:14" ht="15.75" x14ac:dyDescent="0.25">
      <c r="A173">
        <v>522463</v>
      </c>
      <c r="B173" s="20">
        <v>360</v>
      </c>
      <c r="C173" s="21" t="s">
        <v>123</v>
      </c>
      <c r="D173" s="40">
        <v>30</v>
      </c>
      <c r="E173" s="11"/>
      <c r="F173" s="36"/>
      <c r="G173" s="36"/>
      <c r="H173" s="36"/>
      <c r="I173" s="13">
        <f t="shared" si="9"/>
        <v>0</v>
      </c>
      <c r="J173" s="12"/>
      <c r="K173" s="14">
        <f t="shared" si="8"/>
        <v>0</v>
      </c>
      <c r="M173" s="34">
        <f t="shared" si="10"/>
        <v>0</v>
      </c>
      <c r="N173" s="43">
        <f t="shared" si="11"/>
        <v>0</v>
      </c>
    </row>
    <row r="174" spans="1:14" ht="15.75" x14ac:dyDescent="0.25">
      <c r="A174">
        <v>522462</v>
      </c>
      <c r="B174" s="22">
        <v>360</v>
      </c>
      <c r="C174" s="23" t="s">
        <v>124</v>
      </c>
      <c r="D174" s="40">
        <v>30</v>
      </c>
      <c r="E174" s="11"/>
      <c r="F174" s="36"/>
      <c r="G174" s="36"/>
      <c r="H174" s="36"/>
      <c r="I174" s="13">
        <f t="shared" si="9"/>
        <v>0</v>
      </c>
      <c r="J174" s="12"/>
      <c r="K174" s="14">
        <f t="shared" si="8"/>
        <v>0</v>
      </c>
      <c r="M174" s="34">
        <f t="shared" si="10"/>
        <v>0</v>
      </c>
      <c r="N174" s="43">
        <f t="shared" si="11"/>
        <v>0</v>
      </c>
    </row>
    <row r="175" spans="1:14" ht="15.75" x14ac:dyDescent="0.25">
      <c r="A175">
        <v>522460</v>
      </c>
      <c r="B175" s="22">
        <v>360</v>
      </c>
      <c r="C175" s="23" t="s">
        <v>125</v>
      </c>
      <c r="D175" s="40">
        <v>30</v>
      </c>
      <c r="E175" s="11"/>
      <c r="F175" s="36"/>
      <c r="G175" s="36"/>
      <c r="H175" s="36"/>
      <c r="I175" s="13">
        <f t="shared" si="9"/>
        <v>0</v>
      </c>
      <c r="J175" s="12"/>
      <c r="K175" s="14">
        <f t="shared" si="8"/>
        <v>0</v>
      </c>
      <c r="M175" s="34">
        <f t="shared" si="10"/>
        <v>0</v>
      </c>
      <c r="N175" s="43">
        <f t="shared" si="11"/>
        <v>0</v>
      </c>
    </row>
    <row r="176" spans="1:14" ht="15.75" x14ac:dyDescent="0.25">
      <c r="A176">
        <v>522921</v>
      </c>
      <c r="B176" s="20">
        <v>600</v>
      </c>
      <c r="C176" s="21" t="s">
        <v>126</v>
      </c>
      <c r="D176" s="40">
        <v>50</v>
      </c>
      <c r="E176" s="11"/>
      <c r="F176" s="36"/>
      <c r="G176" s="36"/>
      <c r="H176" s="36"/>
      <c r="I176" s="13">
        <f t="shared" si="9"/>
        <v>0</v>
      </c>
      <c r="J176" s="12"/>
      <c r="K176" s="14">
        <f t="shared" si="8"/>
        <v>0</v>
      </c>
      <c r="M176" s="34">
        <f t="shared" si="10"/>
        <v>0</v>
      </c>
      <c r="N176" s="43">
        <f t="shared" si="11"/>
        <v>0</v>
      </c>
    </row>
    <row r="177" spans="1:14" ht="15.75" x14ac:dyDescent="0.25">
      <c r="A177">
        <v>522906</v>
      </c>
      <c r="B177" s="24">
        <v>600</v>
      </c>
      <c r="C177" s="21" t="s">
        <v>121</v>
      </c>
      <c r="D177" s="40">
        <v>50</v>
      </c>
      <c r="E177" s="11"/>
      <c r="F177" s="36"/>
      <c r="G177" s="36"/>
      <c r="H177" s="36"/>
      <c r="I177" s="13">
        <f t="shared" si="9"/>
        <v>0</v>
      </c>
      <c r="J177" s="12"/>
      <c r="K177" s="14">
        <f t="shared" si="8"/>
        <v>0</v>
      </c>
      <c r="M177" s="34">
        <f t="shared" si="10"/>
        <v>0</v>
      </c>
      <c r="N177" s="43">
        <f t="shared" si="11"/>
        <v>0</v>
      </c>
    </row>
    <row r="178" spans="1:14" ht="15.75" x14ac:dyDescent="0.25">
      <c r="A178">
        <v>522907</v>
      </c>
      <c r="B178" s="24">
        <v>600</v>
      </c>
      <c r="C178" s="21" t="s">
        <v>120</v>
      </c>
      <c r="D178" s="40">
        <v>50</v>
      </c>
      <c r="E178" s="11"/>
      <c r="F178" s="36"/>
      <c r="G178" s="36"/>
      <c r="H178" s="36"/>
      <c r="I178" s="13">
        <f t="shared" si="9"/>
        <v>0</v>
      </c>
      <c r="J178" s="12"/>
      <c r="K178" s="14">
        <f t="shared" si="8"/>
        <v>0</v>
      </c>
      <c r="M178" s="34">
        <f t="shared" si="10"/>
        <v>0</v>
      </c>
      <c r="N178" s="43">
        <f t="shared" si="11"/>
        <v>0</v>
      </c>
    </row>
    <row r="179" spans="1:14" ht="15.75" x14ac:dyDescent="0.25">
      <c r="A179">
        <v>522499</v>
      </c>
      <c r="B179" s="20">
        <v>625</v>
      </c>
      <c r="C179" s="21" t="s">
        <v>14</v>
      </c>
      <c r="D179" s="40">
        <v>50</v>
      </c>
      <c r="E179" s="11"/>
      <c r="F179" s="36"/>
      <c r="G179" s="36"/>
      <c r="H179" s="36"/>
      <c r="I179" s="13">
        <f t="shared" si="9"/>
        <v>0</v>
      </c>
      <c r="J179" s="12"/>
      <c r="K179" s="14">
        <f t="shared" si="8"/>
        <v>0</v>
      </c>
      <c r="M179" s="34">
        <f t="shared" si="10"/>
        <v>0</v>
      </c>
      <c r="N179" s="43">
        <f t="shared" si="11"/>
        <v>0</v>
      </c>
    </row>
    <row r="180" spans="1:14" ht="15.75" x14ac:dyDescent="0.25">
      <c r="A180">
        <v>522496</v>
      </c>
      <c r="B180" s="20">
        <v>625</v>
      </c>
      <c r="C180" s="21" t="s">
        <v>127</v>
      </c>
      <c r="D180" s="40">
        <v>50</v>
      </c>
      <c r="E180" s="11"/>
      <c r="F180" s="36"/>
      <c r="G180" s="36"/>
      <c r="H180" s="36"/>
      <c r="I180" s="13">
        <f t="shared" si="9"/>
        <v>0</v>
      </c>
      <c r="J180" s="12"/>
      <c r="K180" s="14">
        <f t="shared" si="8"/>
        <v>0</v>
      </c>
      <c r="M180" s="34">
        <f t="shared" si="10"/>
        <v>0</v>
      </c>
      <c r="N180" s="43">
        <f t="shared" si="11"/>
        <v>0</v>
      </c>
    </row>
    <row r="181" spans="1:14" ht="15.75" x14ac:dyDescent="0.25">
      <c r="A181">
        <v>522498</v>
      </c>
      <c r="B181" s="20">
        <v>625</v>
      </c>
      <c r="C181" s="21" t="s">
        <v>128</v>
      </c>
      <c r="D181" s="40">
        <v>50</v>
      </c>
      <c r="E181" s="11"/>
      <c r="F181" s="36"/>
      <c r="G181" s="36"/>
      <c r="H181" s="36"/>
      <c r="I181" s="13">
        <f t="shared" si="9"/>
        <v>0</v>
      </c>
      <c r="J181" s="12"/>
      <c r="K181" s="14">
        <f t="shared" si="8"/>
        <v>0</v>
      </c>
      <c r="M181" s="34">
        <f t="shared" si="10"/>
        <v>0</v>
      </c>
      <c r="N181" s="43">
        <f t="shared" si="11"/>
        <v>0</v>
      </c>
    </row>
    <row r="182" spans="1:14" ht="15.75" x14ac:dyDescent="0.25">
      <c r="A182">
        <v>522497</v>
      </c>
      <c r="B182" s="20">
        <v>625</v>
      </c>
      <c r="C182" s="21" t="s">
        <v>129</v>
      </c>
      <c r="D182" s="40">
        <v>50</v>
      </c>
      <c r="E182" s="11"/>
      <c r="F182" s="36"/>
      <c r="G182" s="36"/>
      <c r="H182" s="36"/>
      <c r="I182" s="13">
        <f t="shared" si="9"/>
        <v>0</v>
      </c>
      <c r="J182" s="12"/>
      <c r="K182" s="14">
        <f t="shared" si="8"/>
        <v>0</v>
      </c>
      <c r="M182" s="34">
        <f t="shared" si="10"/>
        <v>0</v>
      </c>
      <c r="N182" s="43">
        <f t="shared" si="11"/>
        <v>0</v>
      </c>
    </row>
    <row r="183" spans="1:14" ht="15.75" x14ac:dyDescent="0.25">
      <c r="A183">
        <v>523188</v>
      </c>
      <c r="B183" s="20"/>
      <c r="C183" s="21" t="s">
        <v>130</v>
      </c>
      <c r="D183" s="40">
        <v>9.25</v>
      </c>
      <c r="E183" s="11"/>
      <c r="F183" s="36">
        <v>11</v>
      </c>
      <c r="G183" s="36"/>
      <c r="H183" s="36">
        <v>23</v>
      </c>
      <c r="I183" s="13">
        <f t="shared" si="9"/>
        <v>34</v>
      </c>
      <c r="J183" s="12"/>
      <c r="K183" s="14">
        <f t="shared" si="8"/>
        <v>34</v>
      </c>
      <c r="L183">
        <v>34</v>
      </c>
      <c r="M183" s="34">
        <f t="shared" si="10"/>
        <v>0</v>
      </c>
      <c r="N183" s="43">
        <f t="shared" si="11"/>
        <v>314.5</v>
      </c>
    </row>
    <row r="184" spans="1:14" ht="16.5" thickBot="1" x14ac:dyDescent="0.3">
      <c r="B184" s="25"/>
      <c r="C184" s="26"/>
      <c r="D184" s="42"/>
      <c r="E184" s="27"/>
      <c r="F184" s="28"/>
      <c r="G184" s="29"/>
      <c r="H184" s="28"/>
      <c r="I184" s="30"/>
      <c r="J184" s="28"/>
      <c r="K184" s="31"/>
      <c r="N184" s="43">
        <f>SUM(N2:N183)</f>
        <v>81510.399999999994</v>
      </c>
    </row>
    <row r="185" spans="1:14" x14ac:dyDescent="0.25">
      <c r="N185" s="43">
        <v>1020</v>
      </c>
    </row>
    <row r="186" spans="1:14" x14ac:dyDescent="0.25">
      <c r="N186" s="43">
        <f>N184+N185</f>
        <v>82530.399999999994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>
      <selection sqref="A1:XFD104857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8.42578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9.5703125" style="43" bestFit="1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5" t="s">
        <v>133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/>
      <c r="G2" s="36"/>
      <c r="H2" s="36"/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I2*D2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/>
      <c r="G3" s="36"/>
      <c r="H3" s="36"/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I3*D3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>
        <v>37</v>
      </c>
      <c r="F4" s="36"/>
      <c r="G4" s="36"/>
      <c r="H4" s="36">
        <v>1</v>
      </c>
      <c r="I4" s="13">
        <f t="shared" si="0"/>
        <v>38</v>
      </c>
      <c r="J4" s="12"/>
      <c r="K4" s="14">
        <f t="shared" si="1"/>
        <v>38</v>
      </c>
      <c r="L4">
        <v>38</v>
      </c>
      <c r="M4" s="34">
        <f t="shared" si="2"/>
        <v>0</v>
      </c>
      <c r="N4" s="43">
        <f t="shared" si="3"/>
        <v>2128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>
        <v>2</v>
      </c>
      <c r="F5" s="36">
        <v>4</v>
      </c>
      <c r="G5" s="36">
        <v>6</v>
      </c>
      <c r="H5" s="36">
        <v>3</v>
      </c>
      <c r="I5" s="13">
        <f t="shared" si="0"/>
        <v>15</v>
      </c>
      <c r="J5" s="12"/>
      <c r="K5" s="14">
        <f t="shared" si="1"/>
        <v>15</v>
      </c>
      <c r="L5">
        <v>15</v>
      </c>
      <c r="M5" s="34">
        <f t="shared" si="2"/>
        <v>0</v>
      </c>
      <c r="N5" s="43">
        <f t="shared" si="3"/>
        <v>840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228</v>
      </c>
      <c r="F6" s="36">
        <v>8</v>
      </c>
      <c r="G6" s="36">
        <v>28</v>
      </c>
      <c r="H6" s="36"/>
      <c r="I6" s="13">
        <f t="shared" si="0"/>
        <v>264</v>
      </c>
      <c r="J6" s="12"/>
      <c r="K6" s="14">
        <f t="shared" si="1"/>
        <v>264</v>
      </c>
      <c r="L6">
        <v>264</v>
      </c>
      <c r="M6" s="34">
        <f t="shared" si="2"/>
        <v>0</v>
      </c>
      <c r="N6" s="43">
        <f t="shared" si="3"/>
        <v>16104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/>
      <c r="F7" s="36"/>
      <c r="G7" s="36"/>
      <c r="H7" s="36"/>
      <c r="I7" s="13">
        <f t="shared" si="0"/>
        <v>0</v>
      </c>
      <c r="J7" s="12"/>
      <c r="K7" s="14">
        <f t="shared" si="1"/>
        <v>0</v>
      </c>
      <c r="M7" s="34">
        <f t="shared" si="2"/>
        <v>0</v>
      </c>
      <c r="N7" s="43">
        <f t="shared" si="3"/>
        <v>0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/>
      <c r="F8" s="36"/>
      <c r="G8" s="36"/>
      <c r="H8" s="36"/>
      <c r="I8" s="13">
        <f t="shared" si="0"/>
        <v>0</v>
      </c>
      <c r="J8" s="12"/>
      <c r="K8" s="14">
        <f t="shared" si="1"/>
        <v>0</v>
      </c>
      <c r="M8" s="34">
        <f t="shared" si="2"/>
        <v>0</v>
      </c>
      <c r="N8" s="43">
        <f t="shared" si="3"/>
        <v>0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/>
      <c r="F9" s="36"/>
      <c r="G9" s="36"/>
      <c r="H9" s="36"/>
      <c r="I9" s="13">
        <f t="shared" si="0"/>
        <v>0</v>
      </c>
      <c r="J9" s="12"/>
      <c r="K9" s="14">
        <f t="shared" si="1"/>
        <v>0</v>
      </c>
      <c r="M9" s="34">
        <f t="shared" si="2"/>
        <v>0</v>
      </c>
      <c r="N9" s="43">
        <f t="shared" si="3"/>
        <v>0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/>
      <c r="G10" s="36"/>
      <c r="H10" s="36"/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/>
      <c r="G11" s="36"/>
      <c r="H11" s="36"/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/>
      <c r="G12" s="36"/>
      <c r="H12" s="36"/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/>
      <c r="G13" s="36"/>
      <c r="H13" s="36"/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/>
      <c r="G14" s="36"/>
      <c r="H14" s="36"/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.75" x14ac:dyDescent="0.25">
      <c r="B15" s="9">
        <v>1800</v>
      </c>
      <c r="C15" s="10" t="s">
        <v>21</v>
      </c>
      <c r="D15" s="40">
        <v>38</v>
      </c>
      <c r="E15" s="11"/>
      <c r="F15" s="36"/>
      <c r="G15" s="36"/>
      <c r="H15" s="36"/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>
        <v>62</v>
      </c>
      <c r="F16" s="36">
        <v>5</v>
      </c>
      <c r="G16" s="36">
        <v>7</v>
      </c>
      <c r="H16" s="36">
        <v>10</v>
      </c>
      <c r="I16" s="13">
        <f t="shared" si="0"/>
        <v>84</v>
      </c>
      <c r="J16" s="12"/>
      <c r="K16" s="14">
        <f t="shared" si="1"/>
        <v>84</v>
      </c>
      <c r="L16">
        <v>84</v>
      </c>
      <c r="M16" s="34">
        <f t="shared" si="2"/>
        <v>0</v>
      </c>
      <c r="N16" s="43">
        <f t="shared" si="3"/>
        <v>3444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/>
      <c r="G17" s="36"/>
      <c r="H17" s="36"/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/>
      <c r="G18" s="36"/>
      <c r="H18" s="36"/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>
        <v>32</v>
      </c>
      <c r="F19" s="36">
        <v>3</v>
      </c>
      <c r="G19" s="36">
        <v>1</v>
      </c>
      <c r="H19" s="36">
        <v>5</v>
      </c>
      <c r="I19" s="13">
        <f t="shared" si="0"/>
        <v>41</v>
      </c>
      <c r="J19" s="12"/>
      <c r="K19" s="14">
        <f t="shared" si="1"/>
        <v>41</v>
      </c>
      <c r="L19">
        <v>41</v>
      </c>
      <c r="M19" s="34">
        <f t="shared" si="2"/>
        <v>0</v>
      </c>
      <c r="N19" s="43">
        <f t="shared" si="3"/>
        <v>1681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>
        <v>72</v>
      </c>
      <c r="F20" s="36">
        <v>3</v>
      </c>
      <c r="G20" s="36"/>
      <c r="H20" s="36">
        <v>3</v>
      </c>
      <c r="I20" s="13">
        <f t="shared" si="0"/>
        <v>78</v>
      </c>
      <c r="J20" s="12"/>
      <c r="K20" s="14">
        <f t="shared" si="1"/>
        <v>78</v>
      </c>
      <c r="L20">
        <v>78</v>
      </c>
      <c r="M20" s="34">
        <f t="shared" si="2"/>
        <v>0</v>
      </c>
      <c r="N20" s="43">
        <f t="shared" si="3"/>
        <v>3198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/>
      <c r="G21" s="36"/>
      <c r="H21" s="36"/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/>
      <c r="G22" s="36"/>
      <c r="H22" s="36"/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/>
      <c r="G23" s="36"/>
      <c r="H23" s="36"/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139</v>
      </c>
      <c r="F24" s="36"/>
      <c r="G24" s="36">
        <v>2</v>
      </c>
      <c r="H24" s="36">
        <v>12</v>
      </c>
      <c r="I24" s="13">
        <f t="shared" si="0"/>
        <v>153</v>
      </c>
      <c r="J24" s="12"/>
      <c r="K24" s="14">
        <f t="shared" si="1"/>
        <v>153</v>
      </c>
      <c r="L24">
        <v>153</v>
      </c>
      <c r="M24" s="34">
        <f t="shared" si="2"/>
        <v>0</v>
      </c>
      <c r="N24" s="43">
        <f t="shared" si="3"/>
        <v>5355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/>
      <c r="G25" s="36"/>
      <c r="H25" s="36"/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/>
      <c r="G26" s="36"/>
      <c r="H26" s="36"/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>
        <v>37</v>
      </c>
      <c r="F27" s="36">
        <v>3</v>
      </c>
      <c r="G27" s="36">
        <v>2</v>
      </c>
      <c r="H27" s="36">
        <v>9</v>
      </c>
      <c r="I27" s="13">
        <f t="shared" si="0"/>
        <v>51</v>
      </c>
      <c r="J27" s="12"/>
      <c r="K27" s="14">
        <f t="shared" si="1"/>
        <v>51</v>
      </c>
      <c r="L27">
        <v>51</v>
      </c>
      <c r="M27" s="34">
        <f t="shared" si="2"/>
        <v>0</v>
      </c>
      <c r="N27" s="43">
        <f t="shared" si="3"/>
        <v>2269.5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/>
      <c r="G28" s="36"/>
      <c r="H28" s="36"/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/>
      <c r="G29" s="36"/>
      <c r="H29" s="36"/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/>
      <c r="G30" s="36"/>
      <c r="H30" s="36"/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/>
      <c r="G31" s="36"/>
      <c r="H31" s="36"/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/>
      <c r="G32" s="36"/>
      <c r="H32" s="36"/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>
        <v>70</v>
      </c>
      <c r="F33" s="36">
        <v>10</v>
      </c>
      <c r="G33" s="36"/>
      <c r="H33" s="36">
        <v>1</v>
      </c>
      <c r="I33" s="13">
        <f t="shared" si="0"/>
        <v>81</v>
      </c>
      <c r="J33" s="12"/>
      <c r="K33" s="14">
        <f t="shared" si="1"/>
        <v>81</v>
      </c>
      <c r="L33">
        <v>81</v>
      </c>
      <c r="M33" s="34">
        <f t="shared" si="2"/>
        <v>0</v>
      </c>
      <c r="N33" s="43">
        <f t="shared" si="3"/>
        <v>1903.5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/>
      <c r="G34" s="36"/>
      <c r="H34" s="36"/>
      <c r="I34" s="13">
        <f t="shared" si="0"/>
        <v>0</v>
      </c>
      <c r="J34" s="12"/>
      <c r="K34" s="14">
        <f t="shared" si="1"/>
        <v>0</v>
      </c>
      <c r="M34" s="34">
        <f t="shared" si="2"/>
        <v>0</v>
      </c>
      <c r="N34" s="43">
        <f t="shared" si="3"/>
        <v>0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/>
      <c r="G35" s="36"/>
      <c r="H35" s="36"/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/>
      <c r="F36" s="36"/>
      <c r="G36" s="36"/>
      <c r="H36" s="36"/>
      <c r="I36" s="13">
        <f t="shared" si="0"/>
        <v>0</v>
      </c>
      <c r="J36" s="12"/>
      <c r="K36" s="14">
        <f t="shared" si="1"/>
        <v>0</v>
      </c>
      <c r="M36" s="34">
        <f t="shared" si="2"/>
        <v>0</v>
      </c>
      <c r="N36" s="43">
        <f t="shared" si="3"/>
        <v>0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/>
      <c r="F37" s="36"/>
      <c r="G37" s="36"/>
      <c r="H37" s="36">
        <v>16</v>
      </c>
      <c r="I37" s="13">
        <f t="shared" si="0"/>
        <v>16</v>
      </c>
      <c r="J37" s="12"/>
      <c r="K37" s="14">
        <f t="shared" si="1"/>
        <v>16</v>
      </c>
      <c r="L37">
        <v>16</v>
      </c>
      <c r="M37" s="34">
        <f t="shared" si="2"/>
        <v>0</v>
      </c>
      <c r="N37" s="43">
        <f t="shared" si="3"/>
        <v>400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/>
      <c r="G38" s="36"/>
      <c r="H38" s="36"/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/>
      <c r="G39" s="36"/>
      <c r="H39" s="36"/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/>
      <c r="G40" s="36"/>
      <c r="H40" s="36"/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/>
      <c r="G41" s="36"/>
      <c r="H41" s="36"/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/>
      <c r="G42" s="36"/>
      <c r="H42" s="36"/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/>
      <c r="F43" s="36">
        <v>4</v>
      </c>
      <c r="G43" s="36">
        <v>2</v>
      </c>
      <c r="H43" s="36"/>
      <c r="I43" s="13">
        <f t="shared" si="0"/>
        <v>6</v>
      </c>
      <c r="J43" s="12"/>
      <c r="K43" s="14">
        <f t="shared" si="1"/>
        <v>6</v>
      </c>
      <c r="L43">
        <v>6</v>
      </c>
      <c r="M43" s="34">
        <f t="shared" si="2"/>
        <v>0</v>
      </c>
      <c r="N43" s="43">
        <f t="shared" si="3"/>
        <v>180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/>
      <c r="G44" s="36"/>
      <c r="H44" s="36"/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/>
      <c r="G45" s="36"/>
      <c r="H45" s="36"/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/>
      <c r="G46" s="36"/>
      <c r="H46" s="36"/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/>
      <c r="G47" s="36"/>
      <c r="H47" s="36"/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/>
      <c r="G48" s="36"/>
      <c r="H48" s="36"/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/>
      <c r="G49" s="36"/>
      <c r="H49" s="36"/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/>
      <c r="G50" s="36"/>
      <c r="H50" s="36"/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1</v>
      </c>
      <c r="F51" s="36">
        <v>5</v>
      </c>
      <c r="G51" s="36">
        <v>5</v>
      </c>
      <c r="H51" s="36"/>
      <c r="I51" s="13">
        <f t="shared" si="0"/>
        <v>11</v>
      </c>
      <c r="J51" s="12"/>
      <c r="K51" s="14">
        <f t="shared" si="1"/>
        <v>11</v>
      </c>
      <c r="L51">
        <v>11</v>
      </c>
      <c r="M51" s="34">
        <f t="shared" si="2"/>
        <v>0</v>
      </c>
      <c r="N51" s="43">
        <f t="shared" si="3"/>
        <v>330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/>
      <c r="G52" s="36"/>
      <c r="H52" s="36"/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>
        <v>21</v>
      </c>
      <c r="F53" s="36">
        <v>3</v>
      </c>
      <c r="G53" s="36"/>
      <c r="H53" s="36">
        <v>2</v>
      </c>
      <c r="I53" s="13">
        <f t="shared" si="0"/>
        <v>26</v>
      </c>
      <c r="J53" s="12"/>
      <c r="K53" s="14">
        <f>I53-J53</f>
        <v>26</v>
      </c>
      <c r="L53">
        <v>33</v>
      </c>
      <c r="M53" s="34">
        <f>L53-I53</f>
        <v>7</v>
      </c>
      <c r="N53" s="43">
        <f t="shared" si="3"/>
        <v>1040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>
        <v>24</v>
      </c>
      <c r="F54" s="36"/>
      <c r="G54" s="36">
        <v>11</v>
      </c>
      <c r="H54" s="36"/>
      <c r="I54" s="13">
        <f t="shared" si="0"/>
        <v>35</v>
      </c>
      <c r="J54" s="12"/>
      <c r="K54" s="14">
        <f t="shared" si="1"/>
        <v>35</v>
      </c>
      <c r="L54">
        <v>35</v>
      </c>
      <c r="M54" s="34">
        <f t="shared" si="2"/>
        <v>0</v>
      </c>
      <c r="N54" s="43">
        <f t="shared" si="3"/>
        <v>910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/>
      <c r="G55" s="36"/>
      <c r="H55" s="36"/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/>
      <c r="G56" s="36"/>
      <c r="H56" s="36"/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62</v>
      </c>
      <c r="F57" s="36"/>
      <c r="G57" s="36"/>
      <c r="H57" s="36">
        <v>6</v>
      </c>
      <c r="I57" s="13">
        <f t="shared" si="0"/>
        <v>68</v>
      </c>
      <c r="J57" s="12"/>
      <c r="K57" s="14">
        <f>I57-J57</f>
        <v>68</v>
      </c>
      <c r="L57">
        <v>68</v>
      </c>
      <c r="M57" s="34">
        <f t="shared" si="2"/>
        <v>0</v>
      </c>
      <c r="N57" s="43">
        <f t="shared" si="3"/>
        <v>2108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/>
      <c r="G58" s="36"/>
      <c r="H58" s="36"/>
      <c r="I58" s="13">
        <f t="shared" si="0"/>
        <v>0</v>
      </c>
      <c r="J58" s="12"/>
      <c r="K58" s="14">
        <f t="shared" ref="K58:K122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>
        <v>1</v>
      </c>
      <c r="F59" s="36"/>
      <c r="G59" s="36"/>
      <c r="H59" s="36"/>
      <c r="I59" s="13">
        <f t="shared" si="0"/>
        <v>1</v>
      </c>
      <c r="J59" s="12"/>
      <c r="K59" s="14">
        <f t="shared" si="4"/>
        <v>1</v>
      </c>
      <c r="L59">
        <v>1</v>
      </c>
      <c r="M59" s="34">
        <f t="shared" si="2"/>
        <v>0</v>
      </c>
      <c r="N59" s="43">
        <f t="shared" si="3"/>
        <v>15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/>
      <c r="F60" s="36"/>
      <c r="G60" s="36"/>
      <c r="H60" s="36"/>
      <c r="I60" s="13">
        <f t="shared" si="0"/>
        <v>0</v>
      </c>
      <c r="J60" s="12"/>
      <c r="K60" s="14">
        <f t="shared" si="4"/>
        <v>0</v>
      </c>
      <c r="M60" s="34">
        <f t="shared" si="2"/>
        <v>0</v>
      </c>
      <c r="N60" s="43">
        <f t="shared" si="3"/>
        <v>0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/>
      <c r="G61" s="36"/>
      <c r="H61" s="36"/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/>
      <c r="G62" s="36"/>
      <c r="H62" s="36"/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/>
      <c r="G63" s="36"/>
      <c r="H63" s="36"/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/>
      <c r="G64" s="36"/>
      <c r="H64" s="36"/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/>
      <c r="G65" s="36"/>
      <c r="H65" s="36"/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/>
      <c r="G66" s="36"/>
      <c r="H66" s="36"/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/>
      <c r="G67" s="36"/>
      <c r="H67" s="36"/>
      <c r="I67" s="13">
        <f t="shared" ref="I67:I131" si="5">E67+F67+G67+H67</f>
        <v>0</v>
      </c>
      <c r="J67" s="12"/>
      <c r="K67" s="14">
        <f t="shared" si="4"/>
        <v>0</v>
      </c>
      <c r="M67" s="34">
        <f t="shared" ref="M67:M131" si="6">L67-I67</f>
        <v>0</v>
      </c>
      <c r="N67" s="43">
        <f t="shared" ref="N67:N130" si="7">I67*D67</f>
        <v>0</v>
      </c>
    </row>
    <row r="68" spans="1:14" ht="15.75" x14ac:dyDescent="0.25">
      <c r="B68" s="9">
        <v>360</v>
      </c>
      <c r="C68" s="10" t="s">
        <v>134</v>
      </c>
      <c r="D68" s="40">
        <v>15</v>
      </c>
      <c r="E68" s="11">
        <v>1</v>
      </c>
      <c r="F68" s="36"/>
      <c r="G68" s="36"/>
      <c r="H68" s="36">
        <v>6</v>
      </c>
      <c r="I68" s="13">
        <f t="shared" si="5"/>
        <v>7</v>
      </c>
      <c r="J68" s="12"/>
      <c r="K68" s="14">
        <f t="shared" si="4"/>
        <v>7</v>
      </c>
      <c r="L68">
        <v>7</v>
      </c>
      <c r="M68" s="34">
        <f t="shared" si="6"/>
        <v>0</v>
      </c>
      <c r="N68" s="43">
        <f t="shared" si="7"/>
        <v>105</v>
      </c>
    </row>
    <row r="69" spans="1:14" ht="15.75" x14ac:dyDescent="0.25">
      <c r="A69">
        <v>598822</v>
      </c>
      <c r="B69" s="9">
        <v>250</v>
      </c>
      <c r="C69" s="10" t="s">
        <v>61</v>
      </c>
      <c r="D69" s="40">
        <v>25</v>
      </c>
      <c r="E69" s="11"/>
      <c r="F69" s="36"/>
      <c r="G69" s="36"/>
      <c r="H69" s="36"/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A70">
        <v>598823</v>
      </c>
      <c r="B70" s="9">
        <v>250</v>
      </c>
      <c r="C70" s="10" t="s">
        <v>62</v>
      </c>
      <c r="D70" s="40">
        <v>25</v>
      </c>
      <c r="E70" s="11"/>
      <c r="F70" s="36"/>
      <c r="G70" s="36"/>
      <c r="H70" s="36"/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54</v>
      </c>
      <c r="D71" s="40">
        <v>25</v>
      </c>
      <c r="E71" s="11"/>
      <c r="F71" s="36"/>
      <c r="G71" s="36"/>
      <c r="H71" s="36"/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55</v>
      </c>
      <c r="D72" s="40">
        <v>25</v>
      </c>
      <c r="E72" s="11"/>
      <c r="F72" s="36"/>
      <c r="G72" s="36"/>
      <c r="H72" s="36"/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250</v>
      </c>
      <c r="C73" s="10" t="s">
        <v>56</v>
      </c>
      <c r="D73" s="40">
        <v>25</v>
      </c>
      <c r="E73" s="11"/>
      <c r="F73" s="36"/>
      <c r="G73" s="36"/>
      <c r="H73" s="36"/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52</v>
      </c>
      <c r="D74" s="40">
        <v>35</v>
      </c>
      <c r="E74" s="11"/>
      <c r="F74" s="36"/>
      <c r="G74" s="36"/>
      <c r="H74" s="36"/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53</v>
      </c>
      <c r="D75" s="40">
        <v>35</v>
      </c>
      <c r="E75" s="11"/>
      <c r="F75" s="36"/>
      <c r="G75" s="36"/>
      <c r="H75" s="36"/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54</v>
      </c>
      <c r="D76" s="40">
        <v>35</v>
      </c>
      <c r="E76" s="11"/>
      <c r="F76" s="36"/>
      <c r="G76" s="36"/>
      <c r="H76" s="36"/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55</v>
      </c>
      <c r="D77" s="40">
        <v>35</v>
      </c>
      <c r="E77" s="11"/>
      <c r="F77" s="36"/>
      <c r="G77" s="36"/>
      <c r="H77" s="36"/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B78" s="9">
        <v>1000</v>
      </c>
      <c r="C78" s="10" t="s">
        <v>56</v>
      </c>
      <c r="D78" s="40">
        <v>35</v>
      </c>
      <c r="E78" s="11"/>
      <c r="F78" s="36"/>
      <c r="G78" s="36"/>
      <c r="H78" s="36"/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A79">
        <v>599461</v>
      </c>
      <c r="B79" s="18">
        <v>145</v>
      </c>
      <c r="C79" s="10" t="s">
        <v>63</v>
      </c>
      <c r="D79" s="40">
        <v>15</v>
      </c>
      <c r="E79" s="11"/>
      <c r="F79" s="36"/>
      <c r="G79" s="36"/>
      <c r="H79" s="36"/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64</v>
      </c>
      <c r="D80" s="40">
        <v>15</v>
      </c>
      <c r="E80" s="11"/>
      <c r="F80" s="36"/>
      <c r="G80" s="36"/>
      <c r="H80" s="36"/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B81" s="9">
        <v>145</v>
      </c>
      <c r="C81" s="10" t="s">
        <v>65</v>
      </c>
      <c r="D81" s="40">
        <v>15</v>
      </c>
      <c r="E81" s="11"/>
      <c r="F81" s="36"/>
      <c r="G81" s="36"/>
      <c r="H81" s="36"/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522287</v>
      </c>
      <c r="B82" s="9">
        <v>360</v>
      </c>
      <c r="C82" s="10" t="s">
        <v>66</v>
      </c>
      <c r="D82" s="40">
        <v>20</v>
      </c>
      <c r="E82" s="11"/>
      <c r="F82" s="36"/>
      <c r="G82" s="36"/>
      <c r="H82" s="36"/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522286</v>
      </c>
      <c r="B83" s="18">
        <v>360</v>
      </c>
      <c r="C83" s="10" t="s">
        <v>67</v>
      </c>
      <c r="D83" s="40">
        <v>20</v>
      </c>
      <c r="E83" s="11"/>
      <c r="F83" s="36"/>
      <c r="G83" s="36"/>
      <c r="H83" s="36"/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A84">
        <v>522278</v>
      </c>
      <c r="B84" s="18">
        <v>360</v>
      </c>
      <c r="C84" s="10" t="s">
        <v>68</v>
      </c>
      <c r="D84" s="40">
        <v>20</v>
      </c>
      <c r="E84" s="11"/>
      <c r="F84" s="36"/>
      <c r="G84" s="36"/>
      <c r="H84" s="36"/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69</v>
      </c>
      <c r="D85" s="40">
        <v>20</v>
      </c>
      <c r="E85" s="11"/>
      <c r="F85" s="36"/>
      <c r="G85" s="36"/>
      <c r="H85" s="36"/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70</v>
      </c>
      <c r="D86" s="40">
        <v>20</v>
      </c>
      <c r="E86" s="11"/>
      <c r="F86" s="36"/>
      <c r="G86" s="36"/>
      <c r="H86" s="36"/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71</v>
      </c>
      <c r="D87" s="40">
        <v>20</v>
      </c>
      <c r="E87" s="11"/>
      <c r="F87" s="36"/>
      <c r="G87" s="36"/>
      <c r="H87" s="36"/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B88" s="9">
        <v>360</v>
      </c>
      <c r="C88" s="10" t="s">
        <v>72</v>
      </c>
      <c r="D88" s="40">
        <v>20</v>
      </c>
      <c r="E88" s="11"/>
      <c r="F88" s="36"/>
      <c r="G88" s="36"/>
      <c r="H88" s="36"/>
      <c r="I88" s="13">
        <f t="shared" si="5"/>
        <v>0</v>
      </c>
      <c r="J88" s="12"/>
      <c r="K88" s="14">
        <f t="shared" si="4"/>
        <v>0</v>
      </c>
      <c r="M88" s="34">
        <f t="shared" si="6"/>
        <v>0</v>
      </c>
      <c r="N88" s="43">
        <f t="shared" si="7"/>
        <v>0</v>
      </c>
    </row>
    <row r="89" spans="1:14" ht="15.75" x14ac:dyDescent="0.25">
      <c r="A89">
        <v>522501</v>
      </c>
      <c r="B89" s="9">
        <v>625</v>
      </c>
      <c r="C89" s="10" t="s">
        <v>66</v>
      </c>
      <c r="D89" s="40">
        <v>50</v>
      </c>
      <c r="E89" s="11">
        <v>264</v>
      </c>
      <c r="F89" s="36">
        <v>3</v>
      </c>
      <c r="G89" s="36">
        <v>5</v>
      </c>
      <c r="H89" s="36">
        <v>18</v>
      </c>
      <c r="I89" s="13">
        <f t="shared" si="5"/>
        <v>290</v>
      </c>
      <c r="J89" s="12"/>
      <c r="K89" s="14">
        <f>I89-J89</f>
        <v>290</v>
      </c>
      <c r="L89">
        <v>290</v>
      </c>
      <c r="M89" s="34">
        <f t="shared" si="6"/>
        <v>0</v>
      </c>
      <c r="N89" s="43">
        <f t="shared" si="7"/>
        <v>14500</v>
      </c>
    </row>
    <row r="90" spans="1:14" ht="15.75" x14ac:dyDescent="0.25">
      <c r="A90">
        <v>522502</v>
      </c>
      <c r="B90" s="9">
        <v>625</v>
      </c>
      <c r="C90" s="10" t="s">
        <v>68</v>
      </c>
      <c r="D90" s="40">
        <v>50</v>
      </c>
      <c r="E90" s="11">
        <v>283</v>
      </c>
      <c r="F90" s="36">
        <v>4</v>
      </c>
      <c r="G90" s="36"/>
      <c r="H90" s="36">
        <v>5</v>
      </c>
      <c r="I90" s="13">
        <f t="shared" si="5"/>
        <v>292</v>
      </c>
      <c r="J90" s="12"/>
      <c r="K90" s="14">
        <f t="shared" si="4"/>
        <v>292</v>
      </c>
      <c r="L90">
        <v>292</v>
      </c>
      <c r="M90" s="34">
        <f t="shared" si="6"/>
        <v>0</v>
      </c>
      <c r="N90" s="43">
        <f t="shared" si="7"/>
        <v>14600</v>
      </c>
    </row>
    <row r="91" spans="1:14" ht="15.75" x14ac:dyDescent="0.25">
      <c r="A91">
        <v>522500</v>
      </c>
      <c r="B91" s="9">
        <v>625</v>
      </c>
      <c r="C91" s="10" t="s">
        <v>67</v>
      </c>
      <c r="D91" s="40">
        <v>50</v>
      </c>
      <c r="E91" s="11">
        <v>113</v>
      </c>
      <c r="F91" s="36">
        <v>5</v>
      </c>
      <c r="G91" s="36"/>
      <c r="H91" s="36">
        <v>5</v>
      </c>
      <c r="I91" s="13">
        <f t="shared" si="5"/>
        <v>123</v>
      </c>
      <c r="J91" s="12"/>
      <c r="K91" s="14">
        <f t="shared" si="4"/>
        <v>123</v>
      </c>
      <c r="L91">
        <v>123</v>
      </c>
      <c r="M91" s="34">
        <f t="shared" si="6"/>
        <v>0</v>
      </c>
      <c r="N91" s="43">
        <f t="shared" si="7"/>
        <v>6150</v>
      </c>
    </row>
    <row r="92" spans="1:14" ht="15.75" x14ac:dyDescent="0.25">
      <c r="A92">
        <v>522499</v>
      </c>
      <c r="B92" s="9">
        <v>625</v>
      </c>
      <c r="C92" s="10" t="s">
        <v>73</v>
      </c>
      <c r="D92" s="40">
        <v>50</v>
      </c>
      <c r="E92" s="11"/>
      <c r="F92" s="36"/>
      <c r="G92" s="36"/>
      <c r="H92" s="36"/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B93" s="9">
        <v>625</v>
      </c>
      <c r="C93" s="10" t="s">
        <v>70</v>
      </c>
      <c r="D93" s="40">
        <v>50</v>
      </c>
      <c r="E93" s="11"/>
      <c r="F93" s="36"/>
      <c r="G93" s="36"/>
      <c r="H93" s="36"/>
      <c r="I93" s="13">
        <f t="shared" si="5"/>
        <v>0</v>
      </c>
      <c r="J93" s="12"/>
      <c r="K93" s="14">
        <f t="shared" si="4"/>
        <v>0</v>
      </c>
      <c r="M93" s="34">
        <f t="shared" si="6"/>
        <v>0</v>
      </c>
      <c r="N93" s="43">
        <f t="shared" si="7"/>
        <v>0</v>
      </c>
    </row>
    <row r="94" spans="1:14" ht="15.75" x14ac:dyDescent="0.25">
      <c r="A94">
        <v>522496</v>
      </c>
      <c r="B94" s="9">
        <v>625</v>
      </c>
      <c r="C94" s="10" t="s">
        <v>71</v>
      </c>
      <c r="D94" s="40">
        <v>50</v>
      </c>
      <c r="E94" s="11">
        <v>14</v>
      </c>
      <c r="F94" s="36">
        <v>8</v>
      </c>
      <c r="G94" s="36"/>
      <c r="H94" s="36">
        <v>12</v>
      </c>
      <c r="I94" s="13">
        <f t="shared" si="5"/>
        <v>34</v>
      </c>
      <c r="J94" s="12"/>
      <c r="K94" s="14">
        <f t="shared" si="4"/>
        <v>34</v>
      </c>
      <c r="L94">
        <v>34</v>
      </c>
      <c r="M94" s="34">
        <f t="shared" si="6"/>
        <v>0</v>
      </c>
      <c r="N94" s="43">
        <f t="shared" si="7"/>
        <v>1700</v>
      </c>
    </row>
    <row r="95" spans="1:14" ht="15.75" x14ac:dyDescent="0.25">
      <c r="A95">
        <v>522498</v>
      </c>
      <c r="B95" s="9">
        <v>625</v>
      </c>
      <c r="C95" s="10" t="s">
        <v>74</v>
      </c>
      <c r="D95" s="40">
        <v>50</v>
      </c>
      <c r="E95" s="11"/>
      <c r="F95" s="36"/>
      <c r="G95" s="36"/>
      <c r="H95" s="36"/>
      <c r="I95" s="13">
        <f t="shared" si="5"/>
        <v>0</v>
      </c>
      <c r="J95" s="12"/>
      <c r="K95" s="14">
        <f t="shared" si="4"/>
        <v>0</v>
      </c>
      <c r="M95" s="34">
        <f t="shared" si="6"/>
        <v>0</v>
      </c>
      <c r="N95" s="43">
        <f t="shared" si="7"/>
        <v>0</v>
      </c>
    </row>
    <row r="96" spans="1:14" ht="15.75" x14ac:dyDescent="0.25">
      <c r="A96">
        <v>517507</v>
      </c>
      <c r="B96" s="18">
        <v>500</v>
      </c>
      <c r="C96" s="17" t="s">
        <v>75</v>
      </c>
      <c r="D96" s="40">
        <v>35</v>
      </c>
      <c r="E96" s="11">
        <v>22</v>
      </c>
      <c r="F96" s="36">
        <v>10</v>
      </c>
      <c r="G96" s="36">
        <v>1</v>
      </c>
      <c r="H96" s="36">
        <v>5</v>
      </c>
      <c r="I96" s="13">
        <f t="shared" si="5"/>
        <v>38</v>
      </c>
      <c r="J96" s="12"/>
      <c r="K96" s="14">
        <f t="shared" si="4"/>
        <v>38</v>
      </c>
      <c r="L96">
        <v>38</v>
      </c>
      <c r="M96" s="34">
        <f t="shared" si="6"/>
        <v>0</v>
      </c>
      <c r="N96" s="43">
        <f t="shared" si="7"/>
        <v>1330</v>
      </c>
    </row>
    <row r="97" spans="1:14" ht="15.75" x14ac:dyDescent="0.25">
      <c r="A97">
        <v>517499</v>
      </c>
      <c r="B97" s="18">
        <v>360</v>
      </c>
      <c r="C97" s="17" t="s">
        <v>75</v>
      </c>
      <c r="D97" s="40">
        <v>25</v>
      </c>
      <c r="E97" s="11"/>
      <c r="F97" s="36">
        <v>1</v>
      </c>
      <c r="G97" s="36"/>
      <c r="H97" s="36"/>
      <c r="I97" s="13">
        <f t="shared" si="5"/>
        <v>1</v>
      </c>
      <c r="J97" s="12"/>
      <c r="K97" s="14">
        <f t="shared" si="4"/>
        <v>1</v>
      </c>
      <c r="L97">
        <v>1</v>
      </c>
      <c r="M97" s="34">
        <f t="shared" si="6"/>
        <v>0</v>
      </c>
      <c r="N97" s="43">
        <f t="shared" si="7"/>
        <v>25</v>
      </c>
    </row>
    <row r="98" spans="1:14" ht="15.75" x14ac:dyDescent="0.25">
      <c r="B98" s="9">
        <v>625</v>
      </c>
      <c r="C98" s="10" t="s">
        <v>76</v>
      </c>
      <c r="D98" s="40">
        <v>44.5</v>
      </c>
      <c r="E98" s="11"/>
      <c r="F98" s="36"/>
      <c r="G98" s="36"/>
      <c r="H98" s="36"/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3030</v>
      </c>
      <c r="C99" s="10" t="s">
        <v>76</v>
      </c>
      <c r="D99" s="40">
        <v>56</v>
      </c>
      <c r="E99" s="11"/>
      <c r="F99" s="36"/>
      <c r="G99" s="36"/>
      <c r="H99" s="36"/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355</v>
      </c>
      <c r="C100" s="10" t="s">
        <v>18</v>
      </c>
      <c r="D100" s="40">
        <v>44.5</v>
      </c>
      <c r="E100" s="11"/>
      <c r="F100" s="36"/>
      <c r="G100" s="36"/>
      <c r="H100" s="36"/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B101" s="9">
        <v>911</v>
      </c>
      <c r="C101" s="10" t="s">
        <v>77</v>
      </c>
      <c r="D101" s="40">
        <v>22.5</v>
      </c>
      <c r="E101" s="11"/>
      <c r="F101" s="36"/>
      <c r="G101" s="36"/>
      <c r="H101" s="36"/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500386</v>
      </c>
      <c r="B102" s="9">
        <v>355</v>
      </c>
      <c r="C102" s="10" t="s">
        <v>21</v>
      </c>
      <c r="D102" s="40">
        <v>15</v>
      </c>
      <c r="E102" s="11"/>
      <c r="F102" s="36"/>
      <c r="G102" s="36"/>
      <c r="H102" s="36"/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A103">
        <v>598944</v>
      </c>
      <c r="B103" s="20">
        <v>355</v>
      </c>
      <c r="C103" s="21" t="s">
        <v>14</v>
      </c>
      <c r="D103" s="40">
        <v>15</v>
      </c>
      <c r="E103" s="11"/>
      <c r="F103" s="36"/>
      <c r="G103" s="36"/>
      <c r="H103" s="36"/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B104" s="20">
        <v>355</v>
      </c>
      <c r="C104" s="21" t="s">
        <v>16</v>
      </c>
      <c r="D104" s="40">
        <v>15</v>
      </c>
      <c r="E104" s="11"/>
      <c r="F104" s="36"/>
      <c r="G104" s="36"/>
      <c r="H104" s="36"/>
      <c r="I104" s="13">
        <f t="shared" si="5"/>
        <v>0</v>
      </c>
      <c r="J104" s="12"/>
      <c r="K104" s="14">
        <f t="shared" si="4"/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598947</v>
      </c>
      <c r="B105" s="20">
        <v>355</v>
      </c>
      <c r="C105" s="21" t="s">
        <v>15</v>
      </c>
      <c r="D105" s="40">
        <v>15</v>
      </c>
      <c r="E105" s="11"/>
      <c r="F105" s="36"/>
      <c r="G105" s="36"/>
      <c r="H105" s="36"/>
      <c r="I105" s="13">
        <f t="shared" si="5"/>
        <v>0</v>
      </c>
      <c r="J105" s="12"/>
      <c r="K105" s="14"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A106">
        <v>598943</v>
      </c>
      <c r="B106" s="20">
        <v>355</v>
      </c>
      <c r="C106" s="21" t="s">
        <v>17</v>
      </c>
      <c r="D106" s="40">
        <v>15</v>
      </c>
      <c r="E106" s="11"/>
      <c r="F106" s="36"/>
      <c r="G106" s="36"/>
      <c r="H106" s="36"/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78</v>
      </c>
      <c r="D107" s="40">
        <v>15</v>
      </c>
      <c r="E107" s="11"/>
      <c r="F107" s="36"/>
      <c r="G107" s="36"/>
      <c r="H107" s="36"/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79</v>
      </c>
      <c r="D108" s="40">
        <v>15</v>
      </c>
      <c r="E108" s="11"/>
      <c r="F108" s="36"/>
      <c r="G108" s="36"/>
      <c r="H108" s="36"/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355</v>
      </c>
      <c r="C109" s="21" t="s">
        <v>80</v>
      </c>
      <c r="D109" s="40">
        <v>15</v>
      </c>
      <c r="E109" s="11"/>
      <c r="F109" s="36"/>
      <c r="G109" s="36"/>
      <c r="H109" s="36"/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70</v>
      </c>
      <c r="D110" s="40">
        <v>10</v>
      </c>
      <c r="E110" s="11"/>
      <c r="F110" s="36"/>
      <c r="G110" s="36"/>
      <c r="H110" s="36"/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68</v>
      </c>
      <c r="D111" s="40">
        <v>10</v>
      </c>
      <c r="E111" s="11"/>
      <c r="F111" s="36"/>
      <c r="G111" s="36"/>
      <c r="H111" s="36"/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>
        <v>145</v>
      </c>
      <c r="C112" s="21" t="s">
        <v>73</v>
      </c>
      <c r="D112" s="40">
        <v>10</v>
      </c>
      <c r="E112" s="11"/>
      <c r="F112" s="36"/>
      <c r="G112" s="36"/>
      <c r="H112" s="36"/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66</v>
      </c>
      <c r="D113" s="40">
        <v>10</v>
      </c>
      <c r="E113" s="11"/>
      <c r="F113" s="36"/>
      <c r="G113" s="36"/>
      <c r="H113" s="36"/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81</v>
      </c>
      <c r="D114" s="40">
        <v>10</v>
      </c>
      <c r="E114" s="11"/>
      <c r="F114" s="36"/>
      <c r="G114" s="36"/>
      <c r="H114" s="36"/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74</v>
      </c>
      <c r="D115" s="40">
        <v>10</v>
      </c>
      <c r="E115" s="11"/>
      <c r="F115" s="36"/>
      <c r="G115" s="36"/>
      <c r="H115" s="36"/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/>
      <c r="C116" s="21" t="s">
        <v>82</v>
      </c>
      <c r="D116" s="40">
        <v>10</v>
      </c>
      <c r="E116" s="11"/>
      <c r="F116" s="36"/>
      <c r="G116" s="36"/>
      <c r="H116" s="36"/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12</v>
      </c>
      <c r="D117" s="40">
        <v>41</v>
      </c>
      <c r="E117" s="11"/>
      <c r="F117" s="36"/>
      <c r="G117" s="36"/>
      <c r="H117" s="36"/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250</v>
      </c>
      <c r="C118" s="21" t="s">
        <v>83</v>
      </c>
      <c r="D118" s="40">
        <v>25</v>
      </c>
      <c r="E118" s="11"/>
      <c r="F118" s="36"/>
      <c r="G118" s="36"/>
      <c r="H118" s="36"/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1000</v>
      </c>
      <c r="C119" s="21" t="s">
        <v>83</v>
      </c>
      <c r="D119" s="40">
        <v>30</v>
      </c>
      <c r="E119" s="11"/>
      <c r="F119" s="36"/>
      <c r="G119" s="36"/>
      <c r="H119" s="36"/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B120" s="20">
        <v>250</v>
      </c>
      <c r="C120" s="21" t="s">
        <v>84</v>
      </c>
      <c r="D120" s="40">
        <v>25</v>
      </c>
      <c r="E120" s="11"/>
      <c r="F120" s="36"/>
      <c r="G120" s="36"/>
      <c r="H120" s="36"/>
      <c r="I120" s="13">
        <f t="shared" si="5"/>
        <v>0</v>
      </c>
      <c r="J120" s="12"/>
      <c r="K120" s="14">
        <f t="shared" si="4"/>
        <v>0</v>
      </c>
      <c r="M120" s="34">
        <f t="shared" si="6"/>
        <v>0</v>
      </c>
      <c r="N120" s="43">
        <f t="shared" si="7"/>
        <v>0</v>
      </c>
    </row>
    <row r="121" spans="1:14" ht="15.75" x14ac:dyDescent="0.25">
      <c r="A121">
        <v>522665</v>
      </c>
      <c r="B121" s="22">
        <v>1.5</v>
      </c>
      <c r="C121" s="23" t="s">
        <v>85</v>
      </c>
      <c r="D121" s="40">
        <v>50</v>
      </c>
      <c r="E121" s="11">
        <v>15</v>
      </c>
      <c r="F121" s="36">
        <v>4</v>
      </c>
      <c r="G121" s="36">
        <v>5</v>
      </c>
      <c r="H121" s="36"/>
      <c r="I121" s="13">
        <f t="shared" si="5"/>
        <v>24</v>
      </c>
      <c r="J121" s="12"/>
      <c r="K121" s="14">
        <f t="shared" si="4"/>
        <v>24</v>
      </c>
      <c r="L121">
        <v>24</v>
      </c>
      <c r="M121" s="34">
        <f t="shared" si="6"/>
        <v>0</v>
      </c>
      <c r="N121" s="43">
        <f t="shared" si="7"/>
        <v>1200</v>
      </c>
    </row>
    <row r="122" spans="1:14" ht="15.75" x14ac:dyDescent="0.25">
      <c r="A122">
        <v>522664</v>
      </c>
      <c r="B122" s="20">
        <v>1.5</v>
      </c>
      <c r="C122" s="21" t="s">
        <v>86</v>
      </c>
      <c r="D122" s="40">
        <v>50</v>
      </c>
      <c r="E122" s="11">
        <v>15</v>
      </c>
      <c r="F122" s="36">
        <v>6</v>
      </c>
      <c r="G122" s="36">
        <v>5</v>
      </c>
      <c r="H122" s="36"/>
      <c r="I122" s="13">
        <f t="shared" si="5"/>
        <v>26</v>
      </c>
      <c r="J122" s="12"/>
      <c r="K122" s="14">
        <f t="shared" si="4"/>
        <v>26</v>
      </c>
      <c r="L122">
        <v>26</v>
      </c>
      <c r="M122" s="34">
        <f t="shared" si="6"/>
        <v>0</v>
      </c>
      <c r="N122" s="43">
        <f t="shared" si="7"/>
        <v>1300</v>
      </c>
    </row>
    <row r="123" spans="1:14" ht="15.75" x14ac:dyDescent="0.25">
      <c r="B123" s="24">
        <v>250</v>
      </c>
      <c r="C123" s="21" t="s">
        <v>13</v>
      </c>
      <c r="D123" s="40">
        <v>41</v>
      </c>
      <c r="E123" s="11"/>
      <c r="F123" s="36"/>
      <c r="G123" s="36"/>
      <c r="H123" s="36"/>
      <c r="I123" s="13">
        <f t="shared" si="5"/>
        <v>0</v>
      </c>
      <c r="J123" s="12"/>
      <c r="K123" s="14">
        <f t="shared" ref="K123:K184" si="8">I123-J123</f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360</v>
      </c>
      <c r="C124" s="21" t="s">
        <v>87</v>
      </c>
      <c r="D124" s="40">
        <v>25</v>
      </c>
      <c r="E124" s="11"/>
      <c r="F124" s="36"/>
      <c r="G124" s="36"/>
      <c r="H124" s="36"/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1000</v>
      </c>
      <c r="C125" s="21" t="s">
        <v>75</v>
      </c>
      <c r="D125" s="40">
        <v>75</v>
      </c>
      <c r="E125" s="11"/>
      <c r="F125" s="36"/>
      <c r="G125" s="36"/>
      <c r="H125" s="36"/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355</v>
      </c>
      <c r="C126" s="21" t="s">
        <v>88</v>
      </c>
      <c r="D126" s="40">
        <v>15</v>
      </c>
      <c r="E126" s="11"/>
      <c r="F126" s="36"/>
      <c r="G126" s="36"/>
      <c r="H126" s="36"/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89</v>
      </c>
      <c r="D127" s="40">
        <v>20</v>
      </c>
      <c r="E127" s="11"/>
      <c r="F127" s="36"/>
      <c r="G127" s="36"/>
      <c r="H127" s="36"/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90</v>
      </c>
      <c r="D128" s="40">
        <v>20</v>
      </c>
      <c r="E128" s="11"/>
      <c r="F128" s="36"/>
      <c r="G128" s="36"/>
      <c r="H128" s="36"/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91</v>
      </c>
      <c r="D129" s="40">
        <v>20</v>
      </c>
      <c r="E129" s="11"/>
      <c r="F129" s="36"/>
      <c r="G129" s="36"/>
      <c r="H129" s="36"/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92</v>
      </c>
      <c r="D130" s="40">
        <v>20</v>
      </c>
      <c r="E130" s="11"/>
      <c r="F130" s="36"/>
      <c r="G130" s="36"/>
      <c r="H130" s="36"/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93</v>
      </c>
      <c r="D131" s="40">
        <v>20</v>
      </c>
      <c r="E131" s="11"/>
      <c r="F131" s="36"/>
      <c r="G131" s="36"/>
      <c r="H131" s="36"/>
      <c r="I131" s="13">
        <f t="shared" si="5"/>
        <v>0</v>
      </c>
      <c r="J131" s="12"/>
      <c r="K131" s="14">
        <f t="shared" si="8"/>
        <v>0</v>
      </c>
      <c r="M131" s="34">
        <f t="shared" si="6"/>
        <v>0</v>
      </c>
      <c r="N131" s="43">
        <f t="shared" ref="N131:N184" si="9">I131*D131</f>
        <v>0</v>
      </c>
    </row>
    <row r="132" spans="1:14" ht="15.75" x14ac:dyDescent="0.25">
      <c r="B132" s="20">
        <v>330</v>
      </c>
      <c r="C132" s="21" t="s">
        <v>94</v>
      </c>
      <c r="D132" s="40">
        <v>20</v>
      </c>
      <c r="E132" s="11"/>
      <c r="F132" s="36"/>
      <c r="G132" s="36"/>
      <c r="H132" s="36"/>
      <c r="I132" s="13">
        <f t="shared" ref="I132:I184" si="10">E132+F132+G132+H132</f>
        <v>0</v>
      </c>
      <c r="J132" s="12"/>
      <c r="K132" s="14">
        <f t="shared" si="8"/>
        <v>0</v>
      </c>
      <c r="M132" s="34">
        <f t="shared" ref="M132:M184" si="11">L132-I132</f>
        <v>0</v>
      </c>
      <c r="N132" s="43">
        <f t="shared" si="9"/>
        <v>0</v>
      </c>
    </row>
    <row r="133" spans="1:14" ht="15.75" x14ac:dyDescent="0.25">
      <c r="B133" s="20">
        <v>330</v>
      </c>
      <c r="C133" s="21" t="s">
        <v>95</v>
      </c>
      <c r="D133" s="40">
        <v>20</v>
      </c>
      <c r="E133" s="11"/>
      <c r="F133" s="36"/>
      <c r="G133" s="36"/>
      <c r="H133" s="36"/>
      <c r="I133" s="13">
        <f t="shared" si="10"/>
        <v>0</v>
      </c>
      <c r="J133" s="12"/>
      <c r="K133" s="14">
        <f t="shared" si="8"/>
        <v>0</v>
      </c>
      <c r="M133" s="34">
        <f t="shared" si="11"/>
        <v>0</v>
      </c>
      <c r="N133" s="43">
        <f t="shared" si="9"/>
        <v>0</v>
      </c>
    </row>
    <row r="134" spans="1:14" ht="15.75" x14ac:dyDescent="0.25">
      <c r="B134" s="20">
        <v>330</v>
      </c>
      <c r="C134" s="21" t="s">
        <v>96</v>
      </c>
      <c r="D134" s="40">
        <v>20</v>
      </c>
      <c r="E134" s="11"/>
      <c r="F134" s="36"/>
      <c r="G134" s="36"/>
      <c r="H134" s="36"/>
      <c r="I134" s="13">
        <f t="shared" si="10"/>
        <v>0</v>
      </c>
      <c r="J134" s="12"/>
      <c r="K134" s="14">
        <f t="shared" si="8"/>
        <v>0</v>
      </c>
      <c r="M134" s="34">
        <f t="shared" si="11"/>
        <v>0</v>
      </c>
      <c r="N134" s="43">
        <f t="shared" si="9"/>
        <v>0</v>
      </c>
    </row>
    <row r="135" spans="1:14" ht="15.75" x14ac:dyDescent="0.25">
      <c r="B135" s="20">
        <v>330</v>
      </c>
      <c r="C135" s="21" t="s">
        <v>97</v>
      </c>
      <c r="D135" s="40">
        <v>20</v>
      </c>
      <c r="E135" s="11"/>
      <c r="F135" s="36"/>
      <c r="G135" s="36"/>
      <c r="H135" s="36"/>
      <c r="I135" s="13">
        <f t="shared" si="10"/>
        <v>0</v>
      </c>
      <c r="J135" s="12"/>
      <c r="K135" s="14">
        <f t="shared" si="8"/>
        <v>0</v>
      </c>
      <c r="M135" s="34">
        <f t="shared" si="11"/>
        <v>0</v>
      </c>
      <c r="N135" s="43">
        <f t="shared" si="9"/>
        <v>0</v>
      </c>
    </row>
    <row r="136" spans="1:14" ht="15.75" x14ac:dyDescent="0.25">
      <c r="B136" s="20"/>
      <c r="C136" s="21" t="s">
        <v>98</v>
      </c>
      <c r="D136" s="40">
        <v>20</v>
      </c>
      <c r="E136" s="11"/>
      <c r="F136" s="36"/>
      <c r="G136" s="36"/>
      <c r="H136" s="36"/>
      <c r="I136" s="13">
        <f t="shared" si="10"/>
        <v>0</v>
      </c>
      <c r="J136" s="12"/>
      <c r="K136" s="14">
        <f t="shared" si="8"/>
        <v>0</v>
      </c>
      <c r="M136" s="34">
        <f t="shared" si="11"/>
        <v>0</v>
      </c>
      <c r="N136" s="43">
        <f t="shared" si="9"/>
        <v>0</v>
      </c>
    </row>
    <row r="137" spans="1:14" ht="15.75" x14ac:dyDescent="0.25">
      <c r="B137" s="24">
        <v>473</v>
      </c>
      <c r="C137" s="21" t="s">
        <v>43</v>
      </c>
      <c r="D137" s="40">
        <v>25</v>
      </c>
      <c r="E137" s="11"/>
      <c r="F137" s="36"/>
      <c r="G137" s="36"/>
      <c r="H137" s="36"/>
      <c r="I137" s="13">
        <f t="shared" si="10"/>
        <v>0</v>
      </c>
      <c r="J137" s="12"/>
      <c r="K137" s="14">
        <f t="shared" si="8"/>
        <v>0</v>
      </c>
      <c r="M137" s="34">
        <f t="shared" si="11"/>
        <v>0</v>
      </c>
      <c r="N137" s="43">
        <f t="shared" si="9"/>
        <v>0</v>
      </c>
    </row>
    <row r="138" spans="1:14" ht="15.75" x14ac:dyDescent="0.25">
      <c r="B138" s="24">
        <v>473</v>
      </c>
      <c r="C138" s="21" t="s">
        <v>45</v>
      </c>
      <c r="D138" s="40">
        <v>25</v>
      </c>
      <c r="E138" s="11"/>
      <c r="F138" s="36"/>
      <c r="G138" s="36"/>
      <c r="H138" s="36"/>
      <c r="I138" s="13">
        <f t="shared" si="10"/>
        <v>0</v>
      </c>
      <c r="J138" s="12"/>
      <c r="K138" s="14">
        <f t="shared" si="8"/>
        <v>0</v>
      </c>
      <c r="M138" s="34">
        <f t="shared" si="11"/>
        <v>0</v>
      </c>
      <c r="N138" s="43">
        <f t="shared" si="9"/>
        <v>0</v>
      </c>
    </row>
    <row r="139" spans="1:14" ht="15.75" x14ac:dyDescent="0.25">
      <c r="A139">
        <v>599675</v>
      </c>
      <c r="B139" s="24">
        <v>473</v>
      </c>
      <c r="C139" s="21" t="s">
        <v>99</v>
      </c>
      <c r="D139" s="40">
        <v>25</v>
      </c>
      <c r="E139" s="11"/>
      <c r="F139" s="36"/>
      <c r="G139" s="36"/>
      <c r="H139" s="36"/>
      <c r="I139" s="13">
        <f t="shared" si="10"/>
        <v>0</v>
      </c>
      <c r="J139" s="12"/>
      <c r="K139" s="14">
        <f t="shared" si="8"/>
        <v>0</v>
      </c>
      <c r="M139" s="34">
        <f t="shared" si="11"/>
        <v>0</v>
      </c>
      <c r="N139" s="43">
        <f t="shared" si="9"/>
        <v>0</v>
      </c>
    </row>
    <row r="140" spans="1:14" ht="15.75" x14ac:dyDescent="0.25">
      <c r="B140" s="20">
        <v>473</v>
      </c>
      <c r="C140" s="21" t="s">
        <v>46</v>
      </c>
      <c r="D140" s="40">
        <v>25</v>
      </c>
      <c r="E140" s="11"/>
      <c r="F140" s="36"/>
      <c r="G140" s="36"/>
      <c r="H140" s="36"/>
      <c r="I140" s="13">
        <f t="shared" si="10"/>
        <v>0</v>
      </c>
      <c r="J140" s="12"/>
      <c r="K140" s="14">
        <f t="shared" si="8"/>
        <v>0</v>
      </c>
      <c r="M140" s="34">
        <f t="shared" si="11"/>
        <v>0</v>
      </c>
      <c r="N140" s="43">
        <f t="shared" si="9"/>
        <v>0</v>
      </c>
    </row>
    <row r="141" spans="1:14" ht="15.75" x14ac:dyDescent="0.25">
      <c r="A141">
        <v>522564</v>
      </c>
      <c r="B141" s="20">
        <v>473</v>
      </c>
      <c r="C141" s="21" t="s">
        <v>100</v>
      </c>
      <c r="D141" s="40">
        <v>25</v>
      </c>
      <c r="E141" s="11"/>
      <c r="F141" s="36"/>
      <c r="G141" s="36"/>
      <c r="H141" s="36"/>
      <c r="I141" s="13">
        <f t="shared" si="10"/>
        <v>0</v>
      </c>
      <c r="J141" s="12"/>
      <c r="K141" s="14">
        <f>I141-J141</f>
        <v>0</v>
      </c>
      <c r="M141" s="34">
        <f t="shared" si="11"/>
        <v>0</v>
      </c>
      <c r="N141" s="43">
        <f t="shared" si="9"/>
        <v>0</v>
      </c>
    </row>
    <row r="142" spans="1:14" ht="15.75" x14ac:dyDescent="0.25">
      <c r="B142" s="20">
        <v>625</v>
      </c>
      <c r="C142" s="21" t="s">
        <v>100</v>
      </c>
      <c r="D142" s="40">
        <v>62.5</v>
      </c>
      <c r="E142" s="11"/>
      <c r="F142" s="36"/>
      <c r="G142" s="36"/>
      <c r="H142" s="36"/>
      <c r="I142" s="13">
        <f t="shared" si="10"/>
        <v>0</v>
      </c>
      <c r="J142" s="12"/>
      <c r="K142" s="14">
        <f t="shared" si="8"/>
        <v>0</v>
      </c>
      <c r="M142" s="34">
        <f t="shared" si="11"/>
        <v>0</v>
      </c>
      <c r="N142" s="43">
        <f t="shared" si="9"/>
        <v>0</v>
      </c>
    </row>
    <row r="143" spans="1:14" ht="15.75" x14ac:dyDescent="0.25">
      <c r="A143" t="s">
        <v>101</v>
      </c>
      <c r="B143" s="20"/>
      <c r="C143" s="21" t="s">
        <v>102</v>
      </c>
      <c r="D143" s="40">
        <v>60</v>
      </c>
      <c r="E143" s="11"/>
      <c r="F143" s="36"/>
      <c r="G143" s="36"/>
      <c r="H143" s="36"/>
      <c r="I143" s="13">
        <f t="shared" si="10"/>
        <v>0</v>
      </c>
      <c r="J143" s="12"/>
      <c r="K143" s="14">
        <f t="shared" si="8"/>
        <v>0</v>
      </c>
      <c r="M143" s="34">
        <f t="shared" si="11"/>
        <v>0</v>
      </c>
      <c r="N143" s="43">
        <f t="shared" si="9"/>
        <v>0</v>
      </c>
    </row>
    <row r="144" spans="1:14" ht="15.75" x14ac:dyDescent="0.25">
      <c r="B144" s="20">
        <v>400</v>
      </c>
      <c r="C144" s="21" t="s">
        <v>103</v>
      </c>
      <c r="D144" s="40">
        <v>25</v>
      </c>
      <c r="E144" s="11"/>
      <c r="F144" s="36"/>
      <c r="G144" s="36"/>
      <c r="H144" s="36"/>
      <c r="I144" s="13">
        <f t="shared" si="10"/>
        <v>0</v>
      </c>
      <c r="J144" s="12"/>
      <c r="K144" s="14">
        <f t="shared" si="8"/>
        <v>0</v>
      </c>
      <c r="M144" s="34">
        <f t="shared" si="11"/>
        <v>0</v>
      </c>
      <c r="N144" s="43">
        <f t="shared" si="9"/>
        <v>0</v>
      </c>
    </row>
    <row r="145" spans="1:14" ht="15.75" x14ac:dyDescent="0.25">
      <c r="B145" s="20">
        <v>300</v>
      </c>
      <c r="C145" s="21" t="s">
        <v>43</v>
      </c>
      <c r="D145" s="40">
        <v>30</v>
      </c>
      <c r="E145" s="11"/>
      <c r="F145" s="36"/>
      <c r="G145" s="36"/>
      <c r="H145" s="36"/>
      <c r="I145" s="13">
        <f t="shared" si="10"/>
        <v>0</v>
      </c>
      <c r="J145" s="12"/>
      <c r="K145" s="14">
        <f t="shared" si="8"/>
        <v>0</v>
      </c>
      <c r="M145" s="34">
        <f t="shared" si="11"/>
        <v>0</v>
      </c>
      <c r="N145" s="43">
        <f t="shared" si="9"/>
        <v>0</v>
      </c>
    </row>
    <row r="146" spans="1:14" ht="15.75" x14ac:dyDescent="0.25">
      <c r="B146" s="20">
        <v>300</v>
      </c>
      <c r="C146" s="21" t="s">
        <v>45</v>
      </c>
      <c r="D146" s="40">
        <v>30</v>
      </c>
      <c r="E146" s="11"/>
      <c r="F146" s="36"/>
      <c r="G146" s="36"/>
      <c r="H146" s="36"/>
      <c r="I146" s="13">
        <f t="shared" si="10"/>
        <v>0</v>
      </c>
      <c r="J146" s="12"/>
      <c r="K146" s="14">
        <f t="shared" si="8"/>
        <v>0</v>
      </c>
      <c r="M146" s="34">
        <f t="shared" si="11"/>
        <v>0</v>
      </c>
      <c r="N146" s="43">
        <f t="shared" si="9"/>
        <v>0</v>
      </c>
    </row>
    <row r="147" spans="1:14" ht="15.75" x14ac:dyDescent="0.25">
      <c r="B147" s="20">
        <v>300</v>
      </c>
      <c r="C147" s="21" t="s">
        <v>44</v>
      </c>
      <c r="D147" s="40">
        <v>30</v>
      </c>
      <c r="E147" s="11"/>
      <c r="F147" s="36"/>
      <c r="G147" s="36"/>
      <c r="H147" s="36"/>
      <c r="I147" s="13">
        <f t="shared" si="10"/>
        <v>0</v>
      </c>
      <c r="J147" s="12"/>
      <c r="K147" s="14">
        <f t="shared" si="8"/>
        <v>0</v>
      </c>
      <c r="M147" s="34">
        <f t="shared" si="11"/>
        <v>0</v>
      </c>
      <c r="N147" s="43">
        <f t="shared" si="9"/>
        <v>0</v>
      </c>
    </row>
    <row r="148" spans="1:14" ht="15.75" x14ac:dyDescent="0.25">
      <c r="B148" s="20">
        <v>1090</v>
      </c>
      <c r="C148" s="21" t="s">
        <v>11</v>
      </c>
      <c r="D148" s="40">
        <v>25</v>
      </c>
      <c r="E148" s="11"/>
      <c r="F148" s="36"/>
      <c r="G148" s="36"/>
      <c r="H148" s="36"/>
      <c r="I148" s="13">
        <f t="shared" si="10"/>
        <v>0</v>
      </c>
      <c r="J148" s="12"/>
      <c r="K148" s="14">
        <f t="shared" si="8"/>
        <v>0</v>
      </c>
      <c r="M148" s="34">
        <f t="shared" si="11"/>
        <v>0</v>
      </c>
      <c r="N148" s="43">
        <f t="shared" si="9"/>
        <v>0</v>
      </c>
    </row>
    <row r="149" spans="1:14" ht="15.75" x14ac:dyDescent="0.25">
      <c r="B149" s="20">
        <v>2600</v>
      </c>
      <c r="C149" s="21" t="s">
        <v>11</v>
      </c>
      <c r="D149" s="40">
        <v>50</v>
      </c>
      <c r="E149" s="11"/>
      <c r="F149" s="36"/>
      <c r="G149" s="36"/>
      <c r="H149" s="36"/>
      <c r="I149" s="13">
        <f t="shared" si="10"/>
        <v>0</v>
      </c>
      <c r="J149" s="12"/>
      <c r="K149" s="14">
        <f t="shared" si="8"/>
        <v>0</v>
      </c>
      <c r="M149" s="34">
        <f t="shared" si="11"/>
        <v>0</v>
      </c>
      <c r="N149" s="43">
        <f t="shared" si="9"/>
        <v>0</v>
      </c>
    </row>
    <row r="150" spans="1:14" ht="15.75" x14ac:dyDescent="0.25">
      <c r="B150" s="20">
        <v>250</v>
      </c>
      <c r="C150" s="21" t="s">
        <v>104</v>
      </c>
      <c r="D150" s="40">
        <v>41</v>
      </c>
      <c r="E150" s="11"/>
      <c r="F150" s="36"/>
      <c r="G150" s="36"/>
      <c r="H150" s="36"/>
      <c r="I150" s="13">
        <f t="shared" si="10"/>
        <v>0</v>
      </c>
      <c r="J150" s="12"/>
      <c r="K150" s="14">
        <f t="shared" si="8"/>
        <v>0</v>
      </c>
      <c r="M150" s="34">
        <f t="shared" si="11"/>
        <v>0</v>
      </c>
      <c r="N150" s="43">
        <f t="shared" si="9"/>
        <v>0</v>
      </c>
    </row>
    <row r="151" spans="1:14" ht="15.75" x14ac:dyDescent="0.25">
      <c r="B151" s="20"/>
      <c r="C151" s="21" t="s">
        <v>105</v>
      </c>
      <c r="D151" s="40">
        <v>41</v>
      </c>
      <c r="E151" s="11"/>
      <c r="F151" s="36"/>
      <c r="G151" s="36"/>
      <c r="H151" s="36"/>
      <c r="I151" s="13">
        <f t="shared" si="10"/>
        <v>0</v>
      </c>
      <c r="J151" s="12"/>
      <c r="K151" s="14">
        <f t="shared" si="8"/>
        <v>0</v>
      </c>
      <c r="M151" s="34">
        <f t="shared" si="11"/>
        <v>0</v>
      </c>
      <c r="N151" s="43">
        <f t="shared" si="9"/>
        <v>0</v>
      </c>
    </row>
    <row r="152" spans="1:14" ht="15.75" x14ac:dyDescent="0.25">
      <c r="B152" s="20"/>
      <c r="C152" s="21" t="s">
        <v>16</v>
      </c>
      <c r="D152" s="40">
        <v>41</v>
      </c>
      <c r="E152" s="11"/>
      <c r="F152" s="36"/>
      <c r="G152" s="36"/>
      <c r="H152" s="36"/>
      <c r="I152" s="13">
        <f t="shared" si="10"/>
        <v>0</v>
      </c>
      <c r="J152" s="12"/>
      <c r="K152" s="14">
        <f t="shared" si="8"/>
        <v>0</v>
      </c>
      <c r="M152" s="34">
        <f t="shared" si="11"/>
        <v>0</v>
      </c>
      <c r="N152" s="43">
        <f t="shared" si="9"/>
        <v>0</v>
      </c>
    </row>
    <row r="153" spans="1:14" ht="15.75" x14ac:dyDescent="0.25">
      <c r="B153" s="20"/>
      <c r="C153" s="21" t="s">
        <v>106</v>
      </c>
      <c r="D153" s="40">
        <v>41</v>
      </c>
      <c r="E153" s="11"/>
      <c r="F153" s="36"/>
      <c r="G153" s="36"/>
      <c r="H153" s="36"/>
      <c r="I153" s="13">
        <f t="shared" si="10"/>
        <v>0</v>
      </c>
      <c r="J153" s="12"/>
      <c r="K153" s="14">
        <f t="shared" si="8"/>
        <v>0</v>
      </c>
      <c r="M153" s="34">
        <f t="shared" si="11"/>
        <v>0</v>
      </c>
      <c r="N153" s="43">
        <f t="shared" si="9"/>
        <v>0</v>
      </c>
    </row>
    <row r="154" spans="1:14" ht="15.75" x14ac:dyDescent="0.25">
      <c r="B154" s="20"/>
      <c r="C154" s="21" t="s">
        <v>107</v>
      </c>
      <c r="D154" s="40">
        <v>41</v>
      </c>
      <c r="E154" s="11"/>
      <c r="F154" s="36"/>
      <c r="G154" s="36"/>
      <c r="H154" s="36"/>
      <c r="I154" s="13">
        <f t="shared" si="10"/>
        <v>0</v>
      </c>
      <c r="J154" s="12"/>
      <c r="K154" s="14">
        <f t="shared" si="8"/>
        <v>0</v>
      </c>
      <c r="M154" s="34">
        <f t="shared" si="11"/>
        <v>0</v>
      </c>
      <c r="N154" s="43">
        <f t="shared" si="9"/>
        <v>0</v>
      </c>
    </row>
    <row r="155" spans="1:14" ht="15.75" x14ac:dyDescent="0.25">
      <c r="B155" s="20"/>
      <c r="C155" s="21" t="s">
        <v>108</v>
      </c>
      <c r="D155" s="40">
        <v>41</v>
      </c>
      <c r="E155" s="11"/>
      <c r="F155" s="36"/>
      <c r="G155" s="36"/>
      <c r="H155" s="36"/>
      <c r="I155" s="13">
        <f t="shared" si="10"/>
        <v>0</v>
      </c>
      <c r="J155" s="12"/>
      <c r="K155" s="14">
        <f t="shared" si="8"/>
        <v>0</v>
      </c>
      <c r="M155" s="34">
        <f t="shared" si="11"/>
        <v>0</v>
      </c>
      <c r="N155" s="43">
        <f t="shared" si="9"/>
        <v>0</v>
      </c>
    </row>
    <row r="156" spans="1:14" ht="15.75" x14ac:dyDescent="0.25">
      <c r="A156">
        <v>699952</v>
      </c>
      <c r="B156" s="20"/>
      <c r="C156" s="21" t="s">
        <v>109</v>
      </c>
      <c r="D156" s="40">
        <v>52.2</v>
      </c>
      <c r="E156" s="11"/>
      <c r="F156" s="36"/>
      <c r="G156" s="36"/>
      <c r="H156" s="36"/>
      <c r="I156" s="13">
        <f t="shared" si="10"/>
        <v>0</v>
      </c>
      <c r="J156" s="12"/>
      <c r="K156" s="14">
        <f t="shared" si="8"/>
        <v>0</v>
      </c>
      <c r="M156" s="34">
        <f t="shared" si="11"/>
        <v>0</v>
      </c>
      <c r="N156" s="43">
        <f t="shared" si="9"/>
        <v>0</v>
      </c>
    </row>
    <row r="157" spans="1:14" ht="15.75" x14ac:dyDescent="0.25">
      <c r="A157">
        <v>501020</v>
      </c>
      <c r="B157" s="24">
        <v>360</v>
      </c>
      <c r="C157" s="21" t="s">
        <v>110</v>
      </c>
      <c r="D157" s="40">
        <v>23.5</v>
      </c>
      <c r="E157" s="11">
        <v>72</v>
      </c>
      <c r="F157" s="36">
        <v>15</v>
      </c>
      <c r="G157" s="36">
        <v>1</v>
      </c>
      <c r="H157" s="36">
        <v>5</v>
      </c>
      <c r="I157" s="13">
        <f t="shared" si="10"/>
        <v>93</v>
      </c>
      <c r="J157" s="12"/>
      <c r="K157" s="14">
        <f t="shared" si="8"/>
        <v>93</v>
      </c>
      <c r="L157">
        <v>93</v>
      </c>
      <c r="M157" s="34">
        <f t="shared" si="11"/>
        <v>0</v>
      </c>
      <c r="N157" s="43">
        <f t="shared" si="9"/>
        <v>2185.5</v>
      </c>
    </row>
    <row r="158" spans="1:14" ht="15.75" x14ac:dyDescent="0.25">
      <c r="A158">
        <v>501505</v>
      </c>
      <c r="B158" s="24">
        <v>360</v>
      </c>
      <c r="C158" s="21" t="s">
        <v>17</v>
      </c>
      <c r="D158" s="40">
        <v>47</v>
      </c>
      <c r="E158" s="11"/>
      <c r="F158" s="36"/>
      <c r="G158" s="36"/>
      <c r="H158" s="36"/>
      <c r="I158" s="13">
        <f t="shared" si="10"/>
        <v>0</v>
      </c>
      <c r="J158" s="12"/>
      <c r="K158" s="14">
        <f t="shared" si="8"/>
        <v>0</v>
      </c>
      <c r="M158" s="34">
        <f t="shared" si="11"/>
        <v>0</v>
      </c>
      <c r="N158" s="43">
        <f t="shared" si="9"/>
        <v>0</v>
      </c>
    </row>
    <row r="159" spans="1:14" ht="15.75" x14ac:dyDescent="0.25">
      <c r="B159" s="20">
        <v>250</v>
      </c>
      <c r="C159" s="21" t="s">
        <v>111</v>
      </c>
      <c r="D159" s="40">
        <v>25</v>
      </c>
      <c r="E159" s="11"/>
      <c r="F159" s="36"/>
      <c r="G159" s="36"/>
      <c r="H159" s="36"/>
      <c r="I159" s="13">
        <f t="shared" si="10"/>
        <v>0</v>
      </c>
      <c r="J159" s="12"/>
      <c r="K159" s="14">
        <f t="shared" si="8"/>
        <v>0</v>
      </c>
      <c r="M159" s="34">
        <f t="shared" si="11"/>
        <v>0</v>
      </c>
      <c r="N159" s="43">
        <f t="shared" si="9"/>
        <v>0</v>
      </c>
    </row>
    <row r="160" spans="1:14" ht="15.75" x14ac:dyDescent="0.25">
      <c r="B160" s="20">
        <v>250</v>
      </c>
      <c r="C160" s="21" t="s">
        <v>112</v>
      </c>
      <c r="D160" s="40">
        <v>25</v>
      </c>
      <c r="E160" s="11"/>
      <c r="F160" s="36"/>
      <c r="G160" s="36"/>
      <c r="H160" s="36"/>
      <c r="I160" s="13">
        <f t="shared" si="10"/>
        <v>0</v>
      </c>
      <c r="J160" s="12"/>
      <c r="K160" s="14">
        <f t="shared" si="8"/>
        <v>0</v>
      </c>
      <c r="M160" s="34">
        <f t="shared" si="11"/>
        <v>0</v>
      </c>
      <c r="N160" s="43">
        <f t="shared" si="9"/>
        <v>0</v>
      </c>
    </row>
    <row r="161" spans="1:14" ht="15.75" x14ac:dyDescent="0.25">
      <c r="A161">
        <v>501207</v>
      </c>
      <c r="B161" s="20">
        <v>360</v>
      </c>
      <c r="C161" s="21" t="s">
        <v>113</v>
      </c>
      <c r="D161" s="40">
        <v>47</v>
      </c>
      <c r="E161" s="11"/>
      <c r="F161" s="36"/>
      <c r="G161" s="36"/>
      <c r="H161" s="36"/>
      <c r="I161" s="13">
        <f t="shared" si="10"/>
        <v>0</v>
      </c>
      <c r="J161" s="12"/>
      <c r="K161" s="14">
        <f t="shared" si="8"/>
        <v>0</v>
      </c>
      <c r="M161" s="34">
        <f t="shared" si="11"/>
        <v>0</v>
      </c>
      <c r="N161" s="43">
        <f t="shared" si="9"/>
        <v>0</v>
      </c>
    </row>
    <row r="162" spans="1:14" ht="15.75" x14ac:dyDescent="0.25">
      <c r="A162">
        <v>599858</v>
      </c>
      <c r="B162" s="22"/>
      <c r="C162" s="23" t="s">
        <v>114</v>
      </c>
      <c r="D162" s="40">
        <v>44</v>
      </c>
      <c r="E162" s="11"/>
      <c r="F162" s="36"/>
      <c r="G162" s="36"/>
      <c r="H162" s="36"/>
      <c r="I162" s="13">
        <f t="shared" si="10"/>
        <v>0</v>
      </c>
      <c r="J162" s="12"/>
      <c r="K162" s="14">
        <f t="shared" si="8"/>
        <v>0</v>
      </c>
      <c r="M162" s="34">
        <f t="shared" si="11"/>
        <v>0</v>
      </c>
      <c r="N162" s="43">
        <f t="shared" si="9"/>
        <v>0</v>
      </c>
    </row>
    <row r="163" spans="1:14" ht="15.75" x14ac:dyDescent="0.25">
      <c r="A163">
        <v>599857</v>
      </c>
      <c r="B163" s="22"/>
      <c r="C163" s="23" t="s">
        <v>115</v>
      </c>
      <c r="D163" s="40">
        <v>44</v>
      </c>
      <c r="E163" s="11"/>
      <c r="F163" s="36"/>
      <c r="G163" s="36"/>
      <c r="H163" s="36"/>
      <c r="I163" s="13">
        <f t="shared" si="10"/>
        <v>0</v>
      </c>
      <c r="J163" s="12"/>
      <c r="K163" s="14">
        <f t="shared" si="8"/>
        <v>0</v>
      </c>
      <c r="M163" s="34">
        <f t="shared" si="11"/>
        <v>0</v>
      </c>
      <c r="N163" s="43">
        <f t="shared" si="9"/>
        <v>0</v>
      </c>
    </row>
    <row r="164" spans="1:14" ht="15.75" x14ac:dyDescent="0.25">
      <c r="A164">
        <v>621972</v>
      </c>
      <c r="B164" s="20"/>
      <c r="C164" s="21" t="s">
        <v>116</v>
      </c>
      <c r="D164" s="40">
        <v>14.4</v>
      </c>
      <c r="E164" s="11"/>
      <c r="F164" s="36"/>
      <c r="G164" s="36"/>
      <c r="H164" s="36"/>
      <c r="I164" s="13">
        <f t="shared" si="10"/>
        <v>0</v>
      </c>
      <c r="J164" s="12"/>
      <c r="K164" s="14">
        <f t="shared" si="8"/>
        <v>0</v>
      </c>
      <c r="M164" s="34">
        <f t="shared" si="11"/>
        <v>0</v>
      </c>
      <c r="N164" s="43">
        <f t="shared" si="9"/>
        <v>0</v>
      </c>
    </row>
    <row r="165" spans="1:14" ht="15.75" x14ac:dyDescent="0.25">
      <c r="A165">
        <v>622165</v>
      </c>
      <c r="B165" s="20"/>
      <c r="C165" s="21" t="s">
        <v>117</v>
      </c>
      <c r="D165" s="40">
        <v>73.7</v>
      </c>
      <c r="E165" s="11"/>
      <c r="F165" s="36"/>
      <c r="G165" s="36"/>
      <c r="H165" s="36">
        <v>2</v>
      </c>
      <c r="I165" s="13">
        <f t="shared" si="10"/>
        <v>2</v>
      </c>
      <c r="J165" s="12"/>
      <c r="K165" s="14">
        <f t="shared" si="8"/>
        <v>2</v>
      </c>
      <c r="L165">
        <v>2</v>
      </c>
      <c r="M165" s="34">
        <f t="shared" si="11"/>
        <v>0</v>
      </c>
      <c r="N165" s="43">
        <f t="shared" si="9"/>
        <v>147.4</v>
      </c>
    </row>
    <row r="166" spans="1:14" ht="15.75" x14ac:dyDescent="0.25">
      <c r="B166" s="20">
        <v>300</v>
      </c>
      <c r="C166" s="21" t="s">
        <v>104</v>
      </c>
      <c r="D166" s="40">
        <v>40</v>
      </c>
      <c r="E166" s="11"/>
      <c r="F166" s="36"/>
      <c r="G166" s="36"/>
      <c r="H166" s="36"/>
      <c r="I166" s="13">
        <f t="shared" si="10"/>
        <v>0</v>
      </c>
      <c r="J166" s="12"/>
      <c r="K166" s="14">
        <f t="shared" si="8"/>
        <v>0</v>
      </c>
      <c r="M166" s="34">
        <f t="shared" si="11"/>
        <v>0</v>
      </c>
      <c r="N166" s="43">
        <f t="shared" si="9"/>
        <v>0</v>
      </c>
    </row>
    <row r="167" spans="1:14" ht="15.75" x14ac:dyDescent="0.25">
      <c r="A167">
        <v>622164</v>
      </c>
      <c r="B167" s="20"/>
      <c r="C167" s="21" t="s">
        <v>118</v>
      </c>
      <c r="D167" s="40">
        <v>30</v>
      </c>
      <c r="E167" s="11"/>
      <c r="F167" s="36"/>
      <c r="G167" s="36"/>
      <c r="H167" s="36"/>
      <c r="I167" s="13">
        <f t="shared" si="10"/>
        <v>0</v>
      </c>
      <c r="J167" s="12"/>
      <c r="K167" s="14">
        <f t="shared" si="8"/>
        <v>0</v>
      </c>
      <c r="M167" s="34">
        <f t="shared" si="11"/>
        <v>0</v>
      </c>
      <c r="N167" s="43">
        <f t="shared" si="9"/>
        <v>0</v>
      </c>
    </row>
    <row r="168" spans="1:14" ht="15.75" x14ac:dyDescent="0.25">
      <c r="A168">
        <v>621967</v>
      </c>
      <c r="B168" s="20"/>
      <c r="C168" s="21" t="s">
        <v>118</v>
      </c>
      <c r="D168" s="40">
        <v>90</v>
      </c>
      <c r="E168" s="11">
        <v>7</v>
      </c>
      <c r="F168" s="36">
        <v>1</v>
      </c>
      <c r="G168" s="36"/>
      <c r="H168" s="36">
        <v>1</v>
      </c>
      <c r="I168" s="13">
        <f t="shared" si="10"/>
        <v>9</v>
      </c>
      <c r="J168" s="12"/>
      <c r="K168" s="14">
        <f t="shared" si="8"/>
        <v>9</v>
      </c>
      <c r="L168">
        <v>9</v>
      </c>
      <c r="M168" s="34">
        <f t="shared" si="11"/>
        <v>0</v>
      </c>
      <c r="N168" s="43">
        <f t="shared" si="9"/>
        <v>810</v>
      </c>
    </row>
    <row r="169" spans="1:14" ht="15.75" x14ac:dyDescent="0.25">
      <c r="A169">
        <v>500032</v>
      </c>
      <c r="B169" s="24">
        <v>360</v>
      </c>
      <c r="C169" s="21" t="s">
        <v>104</v>
      </c>
      <c r="D169" s="40">
        <v>47</v>
      </c>
      <c r="E169" s="11"/>
      <c r="F169" s="36"/>
      <c r="G169" s="36"/>
      <c r="H169" s="36">
        <v>4</v>
      </c>
      <c r="I169" s="13">
        <f t="shared" si="10"/>
        <v>4</v>
      </c>
      <c r="J169" s="12"/>
      <c r="K169" s="14">
        <f t="shared" si="8"/>
        <v>4</v>
      </c>
      <c r="L169">
        <v>4</v>
      </c>
      <c r="M169" s="34">
        <f t="shared" si="11"/>
        <v>0</v>
      </c>
      <c r="N169" s="43">
        <f t="shared" si="9"/>
        <v>188</v>
      </c>
    </row>
    <row r="170" spans="1:14" ht="15.75" x14ac:dyDescent="0.25">
      <c r="A170">
        <v>522459</v>
      </c>
      <c r="B170" s="24">
        <v>360</v>
      </c>
      <c r="C170" s="21" t="s">
        <v>119</v>
      </c>
      <c r="D170" s="40">
        <v>30</v>
      </c>
      <c r="E170" s="11">
        <v>121</v>
      </c>
      <c r="F170" s="36">
        <v>4</v>
      </c>
      <c r="G170" s="36">
        <v>13</v>
      </c>
      <c r="H170" s="36">
        <v>9</v>
      </c>
      <c r="I170" s="13">
        <f t="shared" si="10"/>
        <v>147</v>
      </c>
      <c r="J170" s="12"/>
      <c r="K170" s="14">
        <f t="shared" si="8"/>
        <v>147</v>
      </c>
      <c r="L170">
        <v>147</v>
      </c>
      <c r="M170" s="34">
        <f t="shared" si="11"/>
        <v>0</v>
      </c>
      <c r="N170" s="43">
        <f t="shared" si="9"/>
        <v>4410</v>
      </c>
    </row>
    <row r="171" spans="1:14" ht="15.75" x14ac:dyDescent="0.25">
      <c r="A171">
        <v>522451</v>
      </c>
      <c r="B171" s="24">
        <v>360</v>
      </c>
      <c r="C171" s="21" t="s">
        <v>120</v>
      </c>
      <c r="D171" s="40">
        <v>30</v>
      </c>
      <c r="E171" s="11">
        <v>30</v>
      </c>
      <c r="F171" s="36">
        <v>3</v>
      </c>
      <c r="G171" s="36">
        <v>4</v>
      </c>
      <c r="H171" s="36">
        <v>6</v>
      </c>
      <c r="I171" s="13">
        <f t="shared" si="10"/>
        <v>43</v>
      </c>
      <c r="J171" s="12"/>
      <c r="K171" s="14">
        <f t="shared" si="8"/>
        <v>43</v>
      </c>
      <c r="L171">
        <v>43</v>
      </c>
      <c r="M171" s="34">
        <f t="shared" si="11"/>
        <v>0</v>
      </c>
      <c r="N171" s="43">
        <f t="shared" si="9"/>
        <v>1290</v>
      </c>
    </row>
    <row r="172" spans="1:14" ht="15.75" x14ac:dyDescent="0.25">
      <c r="A172">
        <v>522450</v>
      </c>
      <c r="B172" s="24">
        <v>360</v>
      </c>
      <c r="C172" s="21" t="s">
        <v>121</v>
      </c>
      <c r="D172" s="40">
        <v>30</v>
      </c>
      <c r="E172" s="11">
        <v>237</v>
      </c>
      <c r="F172" s="36"/>
      <c r="G172" s="36">
        <v>4</v>
      </c>
      <c r="H172" s="36">
        <v>8</v>
      </c>
      <c r="I172" s="13">
        <f t="shared" si="10"/>
        <v>249</v>
      </c>
      <c r="J172" s="12"/>
      <c r="K172" s="14">
        <f t="shared" si="8"/>
        <v>249</v>
      </c>
      <c r="L172">
        <v>249</v>
      </c>
      <c r="M172" s="34">
        <f t="shared" si="11"/>
        <v>0</v>
      </c>
      <c r="N172" s="43">
        <f t="shared" si="9"/>
        <v>7470</v>
      </c>
    </row>
    <row r="173" spans="1:14" ht="15.75" x14ac:dyDescent="0.25">
      <c r="A173">
        <v>522461</v>
      </c>
      <c r="B173" s="20">
        <v>360</v>
      </c>
      <c r="C173" s="21" t="s">
        <v>122</v>
      </c>
      <c r="D173" s="40">
        <v>30</v>
      </c>
      <c r="E173" s="11"/>
      <c r="F173" s="36"/>
      <c r="G173" s="36"/>
      <c r="H173" s="36"/>
      <c r="I173" s="13">
        <f t="shared" si="10"/>
        <v>0</v>
      </c>
      <c r="J173" s="12"/>
      <c r="K173" s="14">
        <f t="shared" si="8"/>
        <v>0</v>
      </c>
      <c r="M173" s="34">
        <f t="shared" si="11"/>
        <v>0</v>
      </c>
      <c r="N173" s="43">
        <f t="shared" si="9"/>
        <v>0</v>
      </c>
    </row>
    <row r="174" spans="1:14" ht="15.75" x14ac:dyDescent="0.25">
      <c r="A174">
        <v>522463</v>
      </c>
      <c r="B174" s="20">
        <v>360</v>
      </c>
      <c r="C174" s="21" t="s">
        <v>123</v>
      </c>
      <c r="D174" s="40">
        <v>30</v>
      </c>
      <c r="E174" s="11"/>
      <c r="F174" s="36"/>
      <c r="G174" s="36"/>
      <c r="H174" s="36"/>
      <c r="I174" s="13">
        <f t="shared" si="10"/>
        <v>0</v>
      </c>
      <c r="J174" s="12"/>
      <c r="K174" s="14">
        <f t="shared" si="8"/>
        <v>0</v>
      </c>
      <c r="M174" s="34">
        <f t="shared" si="11"/>
        <v>0</v>
      </c>
      <c r="N174" s="43">
        <f t="shared" si="9"/>
        <v>0</v>
      </c>
    </row>
    <row r="175" spans="1:14" ht="15.75" x14ac:dyDescent="0.25">
      <c r="A175">
        <v>522462</v>
      </c>
      <c r="B175" s="22">
        <v>360</v>
      </c>
      <c r="C175" s="23" t="s">
        <v>124</v>
      </c>
      <c r="D175" s="40">
        <v>30</v>
      </c>
      <c r="E175" s="11"/>
      <c r="F175" s="36"/>
      <c r="G175" s="36"/>
      <c r="H175" s="36"/>
      <c r="I175" s="13">
        <f t="shared" si="10"/>
        <v>0</v>
      </c>
      <c r="J175" s="12"/>
      <c r="K175" s="14">
        <f t="shared" si="8"/>
        <v>0</v>
      </c>
      <c r="M175" s="34">
        <f t="shared" si="11"/>
        <v>0</v>
      </c>
      <c r="N175" s="43">
        <f t="shared" si="9"/>
        <v>0</v>
      </c>
    </row>
    <row r="176" spans="1:14" ht="15.75" x14ac:dyDescent="0.25">
      <c r="A176">
        <v>522460</v>
      </c>
      <c r="B176" s="22">
        <v>360</v>
      </c>
      <c r="C176" s="23" t="s">
        <v>125</v>
      </c>
      <c r="D176" s="40">
        <v>30</v>
      </c>
      <c r="E176" s="11"/>
      <c r="F176" s="36"/>
      <c r="G176" s="36"/>
      <c r="H176" s="36"/>
      <c r="I176" s="13">
        <f t="shared" si="10"/>
        <v>0</v>
      </c>
      <c r="J176" s="12"/>
      <c r="K176" s="14">
        <f t="shared" si="8"/>
        <v>0</v>
      </c>
      <c r="M176" s="34">
        <f t="shared" si="11"/>
        <v>0</v>
      </c>
      <c r="N176" s="43">
        <f t="shared" si="9"/>
        <v>0</v>
      </c>
    </row>
    <row r="177" spans="1:14" ht="15.75" x14ac:dyDescent="0.25">
      <c r="A177">
        <v>522921</v>
      </c>
      <c r="B177" s="20">
        <v>600</v>
      </c>
      <c r="C177" s="21" t="s">
        <v>126</v>
      </c>
      <c r="D177" s="40">
        <v>50</v>
      </c>
      <c r="E177" s="11"/>
      <c r="F177" s="36"/>
      <c r="G177" s="36"/>
      <c r="H177" s="36"/>
      <c r="I177" s="13">
        <f t="shared" si="10"/>
        <v>0</v>
      </c>
      <c r="J177" s="12"/>
      <c r="K177" s="14">
        <f t="shared" si="8"/>
        <v>0</v>
      </c>
      <c r="M177" s="34">
        <f t="shared" si="11"/>
        <v>0</v>
      </c>
      <c r="N177" s="43">
        <f t="shared" si="9"/>
        <v>0</v>
      </c>
    </row>
    <row r="178" spans="1:14" ht="15.75" x14ac:dyDescent="0.25">
      <c r="A178">
        <v>522906</v>
      </c>
      <c r="B178" s="24">
        <v>600</v>
      </c>
      <c r="C178" s="21" t="s">
        <v>121</v>
      </c>
      <c r="D178" s="40">
        <v>50</v>
      </c>
      <c r="E178" s="11"/>
      <c r="F178" s="36"/>
      <c r="G178" s="36"/>
      <c r="H178" s="36"/>
      <c r="I178" s="13">
        <f t="shared" si="10"/>
        <v>0</v>
      </c>
      <c r="J178" s="12"/>
      <c r="K178" s="14">
        <f t="shared" si="8"/>
        <v>0</v>
      </c>
      <c r="M178" s="34">
        <f t="shared" si="11"/>
        <v>0</v>
      </c>
      <c r="N178" s="43">
        <f t="shared" si="9"/>
        <v>0</v>
      </c>
    </row>
    <row r="179" spans="1:14" ht="15.75" x14ac:dyDescent="0.25">
      <c r="A179">
        <v>522907</v>
      </c>
      <c r="B179" s="24">
        <v>600</v>
      </c>
      <c r="C179" s="21" t="s">
        <v>120</v>
      </c>
      <c r="D179" s="40">
        <v>50</v>
      </c>
      <c r="E179" s="11"/>
      <c r="F179" s="36"/>
      <c r="G179" s="36"/>
      <c r="H179" s="36"/>
      <c r="I179" s="13">
        <f t="shared" si="10"/>
        <v>0</v>
      </c>
      <c r="J179" s="12"/>
      <c r="K179" s="14">
        <f t="shared" si="8"/>
        <v>0</v>
      </c>
      <c r="M179" s="34">
        <f t="shared" si="11"/>
        <v>0</v>
      </c>
      <c r="N179" s="43">
        <f t="shared" si="9"/>
        <v>0</v>
      </c>
    </row>
    <row r="180" spans="1:14" ht="15.75" x14ac:dyDescent="0.25">
      <c r="A180">
        <v>522499</v>
      </c>
      <c r="B180" s="20">
        <v>625</v>
      </c>
      <c r="C180" s="21" t="s">
        <v>14</v>
      </c>
      <c r="D180" s="40">
        <v>50</v>
      </c>
      <c r="E180" s="11"/>
      <c r="F180" s="36"/>
      <c r="G180" s="36"/>
      <c r="H180" s="36"/>
      <c r="I180" s="13">
        <f t="shared" si="10"/>
        <v>0</v>
      </c>
      <c r="J180" s="12"/>
      <c r="K180" s="14">
        <f t="shared" si="8"/>
        <v>0</v>
      </c>
      <c r="M180" s="34">
        <f t="shared" si="11"/>
        <v>0</v>
      </c>
      <c r="N180" s="43">
        <f t="shared" si="9"/>
        <v>0</v>
      </c>
    </row>
    <row r="181" spans="1:14" ht="15.75" x14ac:dyDescent="0.25">
      <c r="A181">
        <v>522496</v>
      </c>
      <c r="B181" s="20">
        <v>625</v>
      </c>
      <c r="C181" s="21" t="s">
        <v>127</v>
      </c>
      <c r="D181" s="40">
        <v>50</v>
      </c>
      <c r="E181" s="11"/>
      <c r="F181" s="36"/>
      <c r="G181" s="36"/>
      <c r="H181" s="36"/>
      <c r="I181" s="13">
        <f t="shared" si="10"/>
        <v>0</v>
      </c>
      <c r="J181" s="12"/>
      <c r="K181" s="14">
        <f t="shared" si="8"/>
        <v>0</v>
      </c>
      <c r="M181" s="34">
        <f t="shared" si="11"/>
        <v>0</v>
      </c>
      <c r="N181" s="43">
        <f t="shared" si="9"/>
        <v>0</v>
      </c>
    </row>
    <row r="182" spans="1:14" ht="15.75" x14ac:dyDescent="0.25">
      <c r="A182">
        <v>522498</v>
      </c>
      <c r="B182" s="20">
        <v>625</v>
      </c>
      <c r="C182" s="21" t="s">
        <v>128</v>
      </c>
      <c r="D182" s="40">
        <v>50</v>
      </c>
      <c r="E182" s="11"/>
      <c r="F182" s="36"/>
      <c r="G182" s="36"/>
      <c r="H182" s="36"/>
      <c r="I182" s="13">
        <f t="shared" si="10"/>
        <v>0</v>
      </c>
      <c r="J182" s="12"/>
      <c r="K182" s="14">
        <f t="shared" si="8"/>
        <v>0</v>
      </c>
      <c r="M182" s="34">
        <f t="shared" si="11"/>
        <v>0</v>
      </c>
      <c r="N182" s="43">
        <f t="shared" si="9"/>
        <v>0</v>
      </c>
    </row>
    <row r="183" spans="1:14" ht="15.75" x14ac:dyDescent="0.25">
      <c r="A183">
        <v>522497</v>
      </c>
      <c r="B183" s="20">
        <v>625</v>
      </c>
      <c r="C183" s="21" t="s">
        <v>129</v>
      </c>
      <c r="D183" s="40">
        <v>50</v>
      </c>
      <c r="E183" s="11"/>
      <c r="F183" s="36"/>
      <c r="G183" s="36"/>
      <c r="H183" s="36"/>
      <c r="I183" s="13">
        <f t="shared" si="10"/>
        <v>0</v>
      </c>
      <c r="J183" s="12"/>
      <c r="K183" s="14">
        <f t="shared" si="8"/>
        <v>0</v>
      </c>
      <c r="M183" s="34">
        <f t="shared" si="11"/>
        <v>0</v>
      </c>
      <c r="N183" s="43">
        <f t="shared" si="9"/>
        <v>0</v>
      </c>
    </row>
    <row r="184" spans="1:14" ht="15.75" x14ac:dyDescent="0.25">
      <c r="A184">
        <v>523188</v>
      </c>
      <c r="B184" s="20"/>
      <c r="C184" s="21" t="s">
        <v>130</v>
      </c>
      <c r="D184" s="40">
        <v>9.25</v>
      </c>
      <c r="E184" s="11">
        <v>48</v>
      </c>
      <c r="F184" s="36">
        <v>27</v>
      </c>
      <c r="G184" s="36"/>
      <c r="H184" s="36">
        <v>23</v>
      </c>
      <c r="I184" s="13">
        <f t="shared" si="10"/>
        <v>98</v>
      </c>
      <c r="J184" s="12"/>
      <c r="K184" s="14">
        <f t="shared" si="8"/>
        <v>98</v>
      </c>
      <c r="L184">
        <f>19+24+55</f>
        <v>98</v>
      </c>
      <c r="M184" s="34">
        <f t="shared" si="11"/>
        <v>0</v>
      </c>
      <c r="N184" s="43">
        <f t="shared" si="9"/>
        <v>906.5</v>
      </c>
    </row>
    <row r="185" spans="1:14" ht="16.5" thickBot="1" x14ac:dyDescent="0.3">
      <c r="B185" s="25"/>
      <c r="C185" s="26"/>
      <c r="D185" s="42"/>
      <c r="E185" s="27"/>
      <c r="F185" s="28"/>
      <c r="G185" s="29"/>
      <c r="H185" s="28"/>
      <c r="I185" s="30"/>
      <c r="J185" s="28"/>
      <c r="K185" s="31"/>
      <c r="N185" s="43">
        <f>SUM(N2:N184)</f>
        <v>100223.4</v>
      </c>
    </row>
    <row r="187" spans="1:14" ht="15.75" x14ac:dyDescent="0.25">
      <c r="C187" s="46" t="s">
        <v>135</v>
      </c>
      <c r="D187" s="47">
        <v>23</v>
      </c>
      <c r="E187" s="48">
        <f>D187-2-4-3</f>
        <v>14</v>
      </c>
    </row>
    <row r="188" spans="1:14" ht="15.75" x14ac:dyDescent="0.25">
      <c r="C188" s="46" t="s">
        <v>136</v>
      </c>
      <c r="D188" s="47">
        <v>23</v>
      </c>
      <c r="E188" s="48">
        <f>D188-1-4-3</f>
        <v>15</v>
      </c>
    </row>
    <row r="189" spans="1:14" ht="15.75" x14ac:dyDescent="0.25">
      <c r="C189" s="46" t="s">
        <v>137</v>
      </c>
      <c r="D189" s="47">
        <v>18</v>
      </c>
      <c r="E189" s="48">
        <f>D189-8-2</f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tabSelected="1" workbookViewId="0">
      <selection activeCell="M6" sqref="M6"/>
    </sheetView>
  </sheetViews>
  <sheetFormatPr baseColWidth="10" defaultRowHeight="15" x14ac:dyDescent="0.25"/>
  <cols>
    <col min="1" max="1" width="8.140625" customWidth="1"/>
    <col min="2" max="2" width="8.5703125" customWidth="1"/>
    <col min="3" max="3" width="27.140625" style="32" customWidth="1"/>
    <col min="4" max="4" width="9.28515625" customWidth="1"/>
    <col min="5" max="5" width="8.42578125" bestFit="1" customWidth="1"/>
    <col min="6" max="6" width="8.140625" bestFit="1" customWidth="1"/>
    <col min="7" max="7" width="8.140625" style="33" bestFit="1" customWidth="1"/>
    <col min="8" max="8" width="8.5703125" bestFit="1" customWidth="1"/>
    <col min="9" max="9" width="5.42578125" style="34" bestFit="1" customWidth="1"/>
    <col min="10" max="10" width="8" bestFit="1" customWidth="1"/>
    <col min="11" max="11" width="11.28515625" customWidth="1"/>
    <col min="12" max="12" width="8.7109375" customWidth="1"/>
    <col min="13" max="13" width="5.7109375" style="34" customWidth="1"/>
    <col min="14" max="14" width="9.5703125" style="43" bestFit="1" customWidth="1"/>
  </cols>
  <sheetData>
    <row r="1" spans="1:14" ht="32.25" thickBot="1" x14ac:dyDescent="0.3">
      <c r="A1" t="s">
        <v>0</v>
      </c>
      <c r="B1" s="1" t="s">
        <v>1</v>
      </c>
      <c r="C1" s="2" t="s">
        <v>2</v>
      </c>
      <c r="D1" s="39" t="s">
        <v>131</v>
      </c>
      <c r="E1" s="3" t="s">
        <v>3</v>
      </c>
      <c r="F1" s="4" t="s">
        <v>4</v>
      </c>
      <c r="G1" s="5" t="s">
        <v>5</v>
      </c>
      <c r="H1" s="4" t="s">
        <v>6</v>
      </c>
      <c r="I1" s="6" t="s">
        <v>7</v>
      </c>
      <c r="J1" s="4" t="s">
        <v>8</v>
      </c>
      <c r="K1" s="7" t="s">
        <v>9</v>
      </c>
      <c r="L1" s="8" t="s">
        <v>10</v>
      </c>
      <c r="M1" s="35"/>
      <c r="N1" s="45" t="s">
        <v>133</v>
      </c>
    </row>
    <row r="2" spans="1:14" ht="15.75" x14ac:dyDescent="0.25">
      <c r="B2" s="9">
        <v>3300</v>
      </c>
      <c r="C2" s="10" t="s">
        <v>11</v>
      </c>
      <c r="D2" s="40">
        <v>60</v>
      </c>
      <c r="E2" s="11"/>
      <c r="F2" s="36">
        <v>0</v>
      </c>
      <c r="G2" s="36">
        <v>0</v>
      </c>
      <c r="H2" s="36">
        <v>0</v>
      </c>
      <c r="I2" s="13">
        <f>E2+F2+G2+H2</f>
        <v>0</v>
      </c>
      <c r="J2" s="12"/>
      <c r="K2" s="14">
        <f>I2-J2</f>
        <v>0</v>
      </c>
      <c r="M2" s="34">
        <f>L2-I2</f>
        <v>0</v>
      </c>
      <c r="N2" s="43">
        <f>I2*D2</f>
        <v>0</v>
      </c>
    </row>
    <row r="3" spans="1:14" ht="15.75" x14ac:dyDescent="0.25">
      <c r="B3" s="9">
        <v>3.5</v>
      </c>
      <c r="C3" s="10" t="s">
        <v>12</v>
      </c>
      <c r="D3" s="40">
        <v>60</v>
      </c>
      <c r="E3" s="11"/>
      <c r="F3" s="36">
        <v>0</v>
      </c>
      <c r="G3" s="36">
        <v>0</v>
      </c>
      <c r="H3" s="36">
        <v>0</v>
      </c>
      <c r="I3" s="13">
        <f t="shared" ref="I3:I66" si="0">E3+F3+G3+H3</f>
        <v>0</v>
      </c>
      <c r="J3" s="12"/>
      <c r="K3" s="14">
        <f t="shared" ref="K3:K55" si="1">I3-J3</f>
        <v>0</v>
      </c>
      <c r="M3" s="34">
        <f t="shared" ref="M3:M66" si="2">L3-I3</f>
        <v>0</v>
      </c>
      <c r="N3" s="43">
        <f t="shared" ref="N3:N66" si="3">I3*D3</f>
        <v>0</v>
      </c>
    </row>
    <row r="4" spans="1:14" ht="15.75" x14ac:dyDescent="0.25">
      <c r="A4">
        <v>511908</v>
      </c>
      <c r="B4" s="9">
        <v>3030</v>
      </c>
      <c r="C4" s="10" t="s">
        <v>12</v>
      </c>
      <c r="D4" s="40">
        <v>56</v>
      </c>
      <c r="E4" s="11"/>
      <c r="F4" s="36">
        <v>3</v>
      </c>
      <c r="G4" s="36">
        <v>10</v>
      </c>
      <c r="H4" s="36">
        <v>7</v>
      </c>
      <c r="I4" s="13">
        <f t="shared" si="0"/>
        <v>20</v>
      </c>
      <c r="J4" s="12"/>
      <c r="K4" s="14">
        <f t="shared" si="1"/>
        <v>20</v>
      </c>
      <c r="L4">
        <v>20</v>
      </c>
      <c r="M4" s="34">
        <f t="shared" si="2"/>
        <v>0</v>
      </c>
      <c r="N4" s="43">
        <f t="shared" si="3"/>
        <v>1120</v>
      </c>
    </row>
    <row r="5" spans="1:14" ht="15.75" x14ac:dyDescent="0.25">
      <c r="A5">
        <v>509671</v>
      </c>
      <c r="B5" s="9">
        <v>3030</v>
      </c>
      <c r="C5" s="10" t="s">
        <v>13</v>
      </c>
      <c r="D5" s="40">
        <v>56</v>
      </c>
      <c r="E5" s="11"/>
      <c r="F5" s="36">
        <v>0</v>
      </c>
      <c r="G5" s="36">
        <v>6</v>
      </c>
      <c r="H5" s="36">
        <v>0</v>
      </c>
      <c r="I5" s="13">
        <f t="shared" si="0"/>
        <v>6</v>
      </c>
      <c r="J5" s="12"/>
      <c r="K5" s="14">
        <f t="shared" si="1"/>
        <v>6</v>
      </c>
      <c r="L5">
        <v>7</v>
      </c>
      <c r="M5" s="34">
        <f t="shared" si="2"/>
        <v>1</v>
      </c>
      <c r="N5" s="43">
        <f t="shared" si="3"/>
        <v>336</v>
      </c>
    </row>
    <row r="6" spans="1:14" ht="15.75" x14ac:dyDescent="0.25">
      <c r="A6">
        <v>500179</v>
      </c>
      <c r="B6" s="9">
        <v>3030</v>
      </c>
      <c r="C6" s="10" t="s">
        <v>11</v>
      </c>
      <c r="D6" s="40">
        <v>61</v>
      </c>
      <c r="E6" s="11">
        <v>67</v>
      </c>
      <c r="F6" s="36">
        <v>20</v>
      </c>
      <c r="G6" s="36">
        <v>77</v>
      </c>
      <c r="H6" s="36">
        <v>40</v>
      </c>
      <c r="I6" s="13">
        <f t="shared" si="0"/>
        <v>204</v>
      </c>
      <c r="J6" s="12"/>
      <c r="K6" s="14">
        <f t="shared" si="1"/>
        <v>204</v>
      </c>
      <c r="L6">
        <v>204</v>
      </c>
      <c r="M6" s="34">
        <f t="shared" si="2"/>
        <v>0</v>
      </c>
      <c r="N6" s="43">
        <f t="shared" si="3"/>
        <v>12444</v>
      </c>
    </row>
    <row r="7" spans="1:14" ht="15.75" x14ac:dyDescent="0.25">
      <c r="A7">
        <v>501109</v>
      </c>
      <c r="B7" s="9">
        <v>3030</v>
      </c>
      <c r="C7" s="10" t="s">
        <v>14</v>
      </c>
      <c r="D7" s="40">
        <v>61</v>
      </c>
      <c r="E7" s="11"/>
      <c r="F7" s="36">
        <v>0</v>
      </c>
      <c r="G7" s="36">
        <v>0</v>
      </c>
      <c r="H7" s="36">
        <v>0</v>
      </c>
      <c r="I7" s="13">
        <f t="shared" si="0"/>
        <v>0</v>
      </c>
      <c r="J7" s="12"/>
      <c r="K7" s="14">
        <f t="shared" si="1"/>
        <v>0</v>
      </c>
      <c r="M7" s="34">
        <f t="shared" si="2"/>
        <v>0</v>
      </c>
      <c r="N7" s="43">
        <f t="shared" si="3"/>
        <v>0</v>
      </c>
    </row>
    <row r="8" spans="1:14" ht="15.75" x14ac:dyDescent="0.25">
      <c r="A8">
        <v>501244</v>
      </c>
      <c r="B8" s="9">
        <v>3030</v>
      </c>
      <c r="C8" s="10" t="s">
        <v>15</v>
      </c>
      <c r="D8" s="40">
        <v>61</v>
      </c>
      <c r="E8" s="11">
        <v>10</v>
      </c>
      <c r="F8" s="36">
        <v>0</v>
      </c>
      <c r="G8" s="36">
        <v>5</v>
      </c>
      <c r="H8" s="36">
        <v>0</v>
      </c>
      <c r="I8" s="13">
        <f t="shared" si="0"/>
        <v>15</v>
      </c>
      <c r="J8" s="12"/>
      <c r="K8" s="14">
        <f t="shared" si="1"/>
        <v>15</v>
      </c>
      <c r="L8">
        <v>15</v>
      </c>
      <c r="M8" s="34">
        <f t="shared" si="2"/>
        <v>0</v>
      </c>
      <c r="N8" s="43">
        <f t="shared" si="3"/>
        <v>915</v>
      </c>
    </row>
    <row r="9" spans="1:14" ht="15.75" x14ac:dyDescent="0.25">
      <c r="A9">
        <v>501456</v>
      </c>
      <c r="B9" s="9">
        <v>3030</v>
      </c>
      <c r="C9" s="10" t="s">
        <v>16</v>
      </c>
      <c r="D9" s="40">
        <v>61</v>
      </c>
      <c r="E9" s="11">
        <v>5</v>
      </c>
      <c r="F9" s="36">
        <v>0</v>
      </c>
      <c r="G9" s="36">
        <v>5</v>
      </c>
      <c r="H9" s="36">
        <v>5</v>
      </c>
      <c r="I9" s="13">
        <f t="shared" si="0"/>
        <v>15</v>
      </c>
      <c r="J9" s="12"/>
      <c r="K9" s="14">
        <f t="shared" si="1"/>
        <v>15</v>
      </c>
      <c r="L9">
        <v>15</v>
      </c>
      <c r="M9" s="34">
        <f t="shared" si="2"/>
        <v>0</v>
      </c>
      <c r="N9" s="43">
        <f t="shared" si="3"/>
        <v>915</v>
      </c>
    </row>
    <row r="10" spans="1:14" ht="15.75" x14ac:dyDescent="0.25">
      <c r="A10">
        <v>501540</v>
      </c>
      <c r="B10" s="9">
        <v>3030</v>
      </c>
      <c r="C10" s="10" t="s">
        <v>17</v>
      </c>
      <c r="D10" s="40">
        <v>61</v>
      </c>
      <c r="E10" s="11"/>
      <c r="F10" s="36">
        <v>0</v>
      </c>
      <c r="G10" s="36">
        <v>0</v>
      </c>
      <c r="H10" s="36">
        <v>0</v>
      </c>
      <c r="I10" s="13">
        <f t="shared" si="0"/>
        <v>0</v>
      </c>
      <c r="J10" s="12"/>
      <c r="K10" s="14">
        <f t="shared" si="1"/>
        <v>0</v>
      </c>
      <c r="M10" s="34">
        <f t="shared" si="2"/>
        <v>0</v>
      </c>
      <c r="N10" s="43">
        <f t="shared" si="3"/>
        <v>0</v>
      </c>
    </row>
    <row r="11" spans="1:14" ht="15.75" x14ac:dyDescent="0.25">
      <c r="B11" s="9">
        <v>3030</v>
      </c>
      <c r="C11" s="10" t="s">
        <v>18</v>
      </c>
      <c r="D11" s="40">
        <v>56</v>
      </c>
      <c r="E11" s="11"/>
      <c r="F11" s="36">
        <v>0</v>
      </c>
      <c r="G11" s="36">
        <v>0</v>
      </c>
      <c r="H11" s="36">
        <v>0</v>
      </c>
      <c r="I11" s="13">
        <f t="shared" si="0"/>
        <v>0</v>
      </c>
      <c r="J11" s="12"/>
      <c r="K11" s="14">
        <f t="shared" si="1"/>
        <v>0</v>
      </c>
      <c r="M11" s="34">
        <f t="shared" si="2"/>
        <v>0</v>
      </c>
      <c r="N11" s="43">
        <f t="shared" si="3"/>
        <v>0</v>
      </c>
    </row>
    <row r="12" spans="1:14" ht="15.75" x14ac:dyDescent="0.25">
      <c r="B12" s="9">
        <v>2250</v>
      </c>
      <c r="C12" s="10" t="s">
        <v>11</v>
      </c>
      <c r="D12" s="40">
        <v>45</v>
      </c>
      <c r="E12" s="11"/>
      <c r="F12" s="36">
        <v>0</v>
      </c>
      <c r="G12" s="36">
        <v>0</v>
      </c>
      <c r="H12" s="36">
        <v>0</v>
      </c>
      <c r="I12" s="13">
        <f t="shared" si="0"/>
        <v>0</v>
      </c>
      <c r="J12" s="12"/>
      <c r="K12" s="14">
        <f t="shared" si="1"/>
        <v>0</v>
      </c>
      <c r="M12" s="34">
        <f t="shared" si="2"/>
        <v>0</v>
      </c>
      <c r="N12" s="43">
        <f t="shared" si="3"/>
        <v>0</v>
      </c>
    </row>
    <row r="13" spans="1:14" ht="15.75" x14ac:dyDescent="0.25">
      <c r="B13" s="9">
        <v>2250</v>
      </c>
      <c r="C13" s="10" t="s">
        <v>19</v>
      </c>
      <c r="D13" s="40">
        <v>45</v>
      </c>
      <c r="E13" s="11"/>
      <c r="F13" s="36">
        <v>0</v>
      </c>
      <c r="G13" s="36">
        <v>0</v>
      </c>
      <c r="H13" s="36">
        <v>0</v>
      </c>
      <c r="I13" s="13">
        <f t="shared" si="0"/>
        <v>0</v>
      </c>
      <c r="J13" s="12"/>
      <c r="K13" s="14">
        <f t="shared" si="1"/>
        <v>0</v>
      </c>
      <c r="M13" s="34">
        <f t="shared" si="2"/>
        <v>0</v>
      </c>
      <c r="N13" s="43">
        <f t="shared" si="3"/>
        <v>0</v>
      </c>
    </row>
    <row r="14" spans="1:14" ht="15.75" x14ac:dyDescent="0.25">
      <c r="B14" s="9">
        <v>1800</v>
      </c>
      <c r="C14" s="10" t="s">
        <v>20</v>
      </c>
      <c r="D14" s="40">
        <v>38</v>
      </c>
      <c r="E14" s="11"/>
      <c r="F14" s="36">
        <v>0</v>
      </c>
      <c r="G14" s="36">
        <v>0</v>
      </c>
      <c r="H14" s="36">
        <v>0</v>
      </c>
      <c r="I14" s="13">
        <f t="shared" si="0"/>
        <v>0</v>
      </c>
      <c r="J14" s="12"/>
      <c r="K14" s="14">
        <f t="shared" si="1"/>
        <v>0</v>
      </c>
      <c r="M14" s="34">
        <f t="shared" si="2"/>
        <v>0</v>
      </c>
      <c r="N14" s="43">
        <f t="shared" si="3"/>
        <v>0</v>
      </c>
    </row>
    <row r="15" spans="1:14" ht="15.75" x14ac:dyDescent="0.25">
      <c r="B15" s="9">
        <v>1800</v>
      </c>
      <c r="C15" s="10" t="s">
        <v>21</v>
      </c>
      <c r="D15" s="40">
        <v>38</v>
      </c>
      <c r="E15" s="11"/>
      <c r="F15" s="36">
        <v>0</v>
      </c>
      <c r="G15" s="36">
        <v>0</v>
      </c>
      <c r="H15" s="36">
        <v>0</v>
      </c>
      <c r="I15" s="13">
        <f t="shared" si="0"/>
        <v>0</v>
      </c>
      <c r="J15" s="12"/>
      <c r="K15" s="14">
        <f t="shared" si="1"/>
        <v>0</v>
      </c>
      <c r="M15" s="34">
        <f t="shared" si="2"/>
        <v>0</v>
      </c>
      <c r="N15" s="43">
        <f t="shared" si="3"/>
        <v>0</v>
      </c>
    </row>
    <row r="16" spans="1:14" ht="15.75" x14ac:dyDescent="0.25">
      <c r="A16">
        <v>500390</v>
      </c>
      <c r="B16" s="9">
        <v>1.3</v>
      </c>
      <c r="C16" s="10" t="s">
        <v>22</v>
      </c>
      <c r="D16" s="40">
        <v>41</v>
      </c>
      <c r="E16" s="11">
        <v>47</v>
      </c>
      <c r="F16" s="36">
        <v>5</v>
      </c>
      <c r="G16" s="36">
        <v>45</v>
      </c>
      <c r="H16" s="36">
        <v>35</v>
      </c>
      <c r="I16" s="13">
        <f t="shared" si="0"/>
        <v>132</v>
      </c>
      <c r="J16" s="12"/>
      <c r="K16" s="14">
        <f t="shared" si="1"/>
        <v>132</v>
      </c>
      <c r="L16">
        <v>132</v>
      </c>
      <c r="M16" s="34">
        <f t="shared" si="2"/>
        <v>0</v>
      </c>
      <c r="N16" s="43">
        <f t="shared" si="3"/>
        <v>5412</v>
      </c>
    </row>
    <row r="17" spans="1:14" ht="15.75" x14ac:dyDescent="0.25">
      <c r="B17" s="9">
        <v>1.3</v>
      </c>
      <c r="C17" s="10" t="s">
        <v>23</v>
      </c>
      <c r="D17" s="40">
        <v>41</v>
      </c>
      <c r="E17" s="11"/>
      <c r="F17" s="36">
        <v>0</v>
      </c>
      <c r="G17" s="36">
        <v>0</v>
      </c>
      <c r="H17" s="36">
        <v>0</v>
      </c>
      <c r="I17" s="13">
        <f t="shared" si="0"/>
        <v>0</v>
      </c>
      <c r="J17" s="12"/>
      <c r="K17" s="14">
        <f t="shared" si="1"/>
        <v>0</v>
      </c>
      <c r="M17" s="34">
        <f t="shared" si="2"/>
        <v>0</v>
      </c>
      <c r="N17" s="43">
        <f t="shared" si="3"/>
        <v>0</v>
      </c>
    </row>
    <row r="18" spans="1:14" ht="15.75" x14ac:dyDescent="0.25">
      <c r="B18" s="9">
        <v>1.3</v>
      </c>
      <c r="C18" s="10" t="s">
        <v>24</v>
      </c>
      <c r="D18" s="40">
        <v>41</v>
      </c>
      <c r="E18" s="11"/>
      <c r="F18" s="36">
        <v>0</v>
      </c>
      <c r="G18" s="36">
        <v>0</v>
      </c>
      <c r="H18" s="36">
        <v>0</v>
      </c>
      <c r="I18" s="13">
        <f t="shared" si="0"/>
        <v>0</v>
      </c>
      <c r="J18" s="12"/>
      <c r="K18" s="14">
        <f t="shared" si="1"/>
        <v>0</v>
      </c>
      <c r="M18" s="34">
        <f t="shared" si="2"/>
        <v>0</v>
      </c>
      <c r="N18" s="43">
        <f t="shared" si="3"/>
        <v>0</v>
      </c>
    </row>
    <row r="19" spans="1:14" ht="15.75" x14ac:dyDescent="0.25">
      <c r="A19">
        <v>511927</v>
      </c>
      <c r="B19" s="9">
        <v>1.3</v>
      </c>
      <c r="C19" s="10" t="s">
        <v>25</v>
      </c>
      <c r="D19" s="40">
        <v>41</v>
      </c>
      <c r="E19" s="11"/>
      <c r="F19" s="36">
        <v>4</v>
      </c>
      <c r="G19" s="36">
        <v>10</v>
      </c>
      <c r="H19" s="36">
        <v>4</v>
      </c>
      <c r="I19" s="13">
        <f t="shared" si="0"/>
        <v>18</v>
      </c>
      <c r="J19" s="12"/>
      <c r="K19" s="14">
        <f t="shared" si="1"/>
        <v>18</v>
      </c>
      <c r="L19">
        <v>18</v>
      </c>
      <c r="M19" s="34">
        <f t="shared" si="2"/>
        <v>0</v>
      </c>
      <c r="N19" s="43">
        <f t="shared" si="3"/>
        <v>738</v>
      </c>
    </row>
    <row r="20" spans="1:14" ht="15.75" x14ac:dyDescent="0.25">
      <c r="A20">
        <v>509919</v>
      </c>
      <c r="B20" s="9">
        <v>1.3</v>
      </c>
      <c r="C20" s="10" t="s">
        <v>26</v>
      </c>
      <c r="D20" s="40">
        <v>41</v>
      </c>
      <c r="E20" s="11">
        <v>36</v>
      </c>
      <c r="F20" s="36">
        <v>5</v>
      </c>
      <c r="G20" s="36">
        <v>6</v>
      </c>
      <c r="H20" s="36">
        <v>17</v>
      </c>
      <c r="I20" s="13">
        <f t="shared" si="0"/>
        <v>64</v>
      </c>
      <c r="J20" s="12"/>
      <c r="K20" s="14">
        <f t="shared" si="1"/>
        <v>64</v>
      </c>
      <c r="L20">
        <v>67</v>
      </c>
      <c r="M20" s="34">
        <f t="shared" si="2"/>
        <v>3</v>
      </c>
      <c r="N20" s="43">
        <f t="shared" si="3"/>
        <v>2624</v>
      </c>
    </row>
    <row r="21" spans="1:14" ht="15.75" x14ac:dyDescent="0.25">
      <c r="B21" s="9">
        <v>1300</v>
      </c>
      <c r="C21" s="10" t="s">
        <v>27</v>
      </c>
      <c r="D21" s="40">
        <v>41</v>
      </c>
      <c r="E21" s="11"/>
      <c r="F21" s="36">
        <v>0</v>
      </c>
      <c r="G21" s="36">
        <v>0</v>
      </c>
      <c r="H21" s="36">
        <v>0</v>
      </c>
      <c r="I21" s="13">
        <f t="shared" si="0"/>
        <v>0</v>
      </c>
      <c r="J21" s="12"/>
      <c r="K21" s="14">
        <f t="shared" si="1"/>
        <v>0</v>
      </c>
      <c r="M21" s="34">
        <f t="shared" si="2"/>
        <v>0</v>
      </c>
      <c r="N21" s="43">
        <f t="shared" si="3"/>
        <v>0</v>
      </c>
    </row>
    <row r="22" spans="1:14" ht="15.75" x14ac:dyDescent="0.25">
      <c r="A22">
        <v>500094</v>
      </c>
      <c r="B22" s="9">
        <v>1000</v>
      </c>
      <c r="C22" s="10" t="s">
        <v>11</v>
      </c>
      <c r="D22" s="40">
        <v>50</v>
      </c>
      <c r="E22" s="11"/>
      <c r="F22" s="36">
        <v>0</v>
      </c>
      <c r="G22" s="36">
        <v>0</v>
      </c>
      <c r="H22" s="36">
        <v>0</v>
      </c>
      <c r="I22" s="13">
        <f t="shared" si="0"/>
        <v>0</v>
      </c>
      <c r="J22" s="12"/>
      <c r="K22" s="14">
        <f t="shared" si="1"/>
        <v>0</v>
      </c>
      <c r="M22" s="34">
        <f t="shared" si="2"/>
        <v>0</v>
      </c>
      <c r="N22" s="43">
        <f t="shared" si="3"/>
        <v>0</v>
      </c>
    </row>
    <row r="23" spans="1:14" ht="15.75" x14ac:dyDescent="0.25">
      <c r="A23">
        <v>599038</v>
      </c>
      <c r="B23" s="9">
        <v>625</v>
      </c>
      <c r="C23" s="10" t="s">
        <v>28</v>
      </c>
      <c r="D23" s="40">
        <v>43.5</v>
      </c>
      <c r="E23" s="11"/>
      <c r="F23" s="36">
        <v>0</v>
      </c>
      <c r="G23" s="36">
        <v>0</v>
      </c>
      <c r="H23" s="36">
        <v>0</v>
      </c>
      <c r="I23" s="13">
        <f t="shared" si="0"/>
        <v>0</v>
      </c>
      <c r="J23" s="12"/>
      <c r="K23" s="14">
        <f t="shared" si="1"/>
        <v>0</v>
      </c>
      <c r="M23" s="34">
        <f t="shared" si="2"/>
        <v>0</v>
      </c>
      <c r="N23" s="43">
        <f t="shared" si="3"/>
        <v>0</v>
      </c>
    </row>
    <row r="24" spans="1:14" ht="15.75" x14ac:dyDescent="0.25">
      <c r="A24">
        <v>500303</v>
      </c>
      <c r="B24" s="9">
        <v>625</v>
      </c>
      <c r="C24" s="10" t="s">
        <v>29</v>
      </c>
      <c r="D24" s="40">
        <v>35</v>
      </c>
      <c r="E24" s="11">
        <v>58</v>
      </c>
      <c r="F24" s="36">
        <v>10</v>
      </c>
      <c r="G24" s="36">
        <v>10</v>
      </c>
      <c r="H24" s="36">
        <v>15</v>
      </c>
      <c r="I24" s="13">
        <f t="shared" si="0"/>
        <v>93</v>
      </c>
      <c r="J24" s="12"/>
      <c r="K24" s="14">
        <f t="shared" si="1"/>
        <v>93</v>
      </c>
      <c r="L24">
        <v>93</v>
      </c>
      <c r="M24" s="34">
        <f t="shared" si="2"/>
        <v>0</v>
      </c>
      <c r="N24" s="43">
        <f t="shared" si="3"/>
        <v>3255</v>
      </c>
    </row>
    <row r="25" spans="1:14" ht="15.75" x14ac:dyDescent="0.25">
      <c r="A25">
        <v>599037</v>
      </c>
      <c r="B25" s="9">
        <v>625</v>
      </c>
      <c r="C25" s="10" t="s">
        <v>30</v>
      </c>
      <c r="D25" s="40">
        <v>43.5</v>
      </c>
      <c r="E25" s="11"/>
      <c r="F25" s="36">
        <v>0</v>
      </c>
      <c r="G25" s="36">
        <v>0</v>
      </c>
      <c r="H25" s="36">
        <v>0</v>
      </c>
      <c r="I25" s="13">
        <f t="shared" si="0"/>
        <v>0</v>
      </c>
      <c r="J25" s="12"/>
      <c r="K25" s="14">
        <f t="shared" si="1"/>
        <v>0</v>
      </c>
      <c r="M25" s="34">
        <f t="shared" si="2"/>
        <v>0</v>
      </c>
      <c r="N25" s="43">
        <f t="shared" si="3"/>
        <v>0</v>
      </c>
    </row>
    <row r="26" spans="1:14" ht="15.75" x14ac:dyDescent="0.25">
      <c r="A26">
        <v>599036</v>
      </c>
      <c r="B26" s="9">
        <v>625</v>
      </c>
      <c r="C26" s="10" t="s">
        <v>31</v>
      </c>
      <c r="D26" s="40">
        <v>43.5</v>
      </c>
      <c r="E26" s="11"/>
      <c r="F26" s="36">
        <v>0</v>
      </c>
      <c r="G26" s="36">
        <v>0</v>
      </c>
      <c r="H26" s="36">
        <v>0</v>
      </c>
      <c r="I26" s="13">
        <f t="shared" si="0"/>
        <v>0</v>
      </c>
      <c r="J26" s="12"/>
      <c r="K26" s="14">
        <f t="shared" si="1"/>
        <v>0</v>
      </c>
      <c r="M26" s="34">
        <f t="shared" si="2"/>
        <v>0</v>
      </c>
      <c r="N26" s="43">
        <f t="shared" si="3"/>
        <v>0</v>
      </c>
    </row>
    <row r="27" spans="1:14" ht="15.75" x14ac:dyDescent="0.25">
      <c r="A27">
        <v>599035</v>
      </c>
      <c r="B27" s="9">
        <v>625</v>
      </c>
      <c r="C27" s="10" t="s">
        <v>32</v>
      </c>
      <c r="D27" s="40">
        <v>44.5</v>
      </c>
      <c r="E27" s="11"/>
      <c r="F27" s="36">
        <v>0</v>
      </c>
      <c r="G27" s="36">
        <v>12</v>
      </c>
      <c r="H27" s="36">
        <v>1</v>
      </c>
      <c r="I27" s="13">
        <f t="shared" si="0"/>
        <v>13</v>
      </c>
      <c r="J27" s="12"/>
      <c r="K27" s="14">
        <f t="shared" si="1"/>
        <v>13</v>
      </c>
      <c r="L27">
        <v>13</v>
      </c>
      <c r="M27" s="34">
        <f t="shared" si="2"/>
        <v>0</v>
      </c>
      <c r="N27" s="43">
        <f t="shared" si="3"/>
        <v>578.5</v>
      </c>
    </row>
    <row r="28" spans="1:14" ht="15.75" x14ac:dyDescent="0.25">
      <c r="B28" s="9">
        <v>625</v>
      </c>
      <c r="C28" s="10" t="s">
        <v>33</v>
      </c>
      <c r="D28" s="40">
        <v>44.5</v>
      </c>
      <c r="E28" s="11"/>
      <c r="F28" s="36">
        <v>0</v>
      </c>
      <c r="G28" s="36">
        <v>0</v>
      </c>
      <c r="H28" s="36">
        <v>0</v>
      </c>
      <c r="I28" s="13">
        <f t="shared" si="0"/>
        <v>0</v>
      </c>
      <c r="J28" s="12"/>
      <c r="K28" s="14">
        <f t="shared" si="1"/>
        <v>0</v>
      </c>
      <c r="M28" s="34">
        <f t="shared" si="2"/>
        <v>0</v>
      </c>
      <c r="N28" s="43">
        <f t="shared" si="3"/>
        <v>0</v>
      </c>
    </row>
    <row r="29" spans="1:14" ht="15.75" x14ac:dyDescent="0.25">
      <c r="B29" s="9">
        <v>625</v>
      </c>
      <c r="C29" s="10" t="s">
        <v>27</v>
      </c>
      <c r="D29" s="40">
        <v>44.5</v>
      </c>
      <c r="E29" s="11"/>
      <c r="F29" s="36">
        <v>0</v>
      </c>
      <c r="G29" s="36">
        <v>0</v>
      </c>
      <c r="H29" s="36">
        <v>0</v>
      </c>
      <c r="I29" s="13">
        <f t="shared" si="0"/>
        <v>0</v>
      </c>
      <c r="J29" s="12"/>
      <c r="K29" s="14">
        <f t="shared" si="1"/>
        <v>0</v>
      </c>
      <c r="M29" s="34">
        <f t="shared" si="2"/>
        <v>0</v>
      </c>
      <c r="N29" s="43">
        <f t="shared" si="3"/>
        <v>0</v>
      </c>
    </row>
    <row r="30" spans="1:14" ht="15.75" x14ac:dyDescent="0.25">
      <c r="B30" s="15">
        <v>400</v>
      </c>
      <c r="C30" s="16" t="s">
        <v>11</v>
      </c>
      <c r="D30" s="41">
        <v>50</v>
      </c>
      <c r="E30" s="11"/>
      <c r="F30" s="36">
        <v>0</v>
      </c>
      <c r="G30" s="36">
        <v>0</v>
      </c>
      <c r="H30" s="36">
        <v>0</v>
      </c>
      <c r="I30" s="13">
        <f t="shared" si="0"/>
        <v>0</v>
      </c>
      <c r="J30" s="12"/>
      <c r="K30" s="14">
        <f t="shared" si="1"/>
        <v>0</v>
      </c>
      <c r="M30" s="34">
        <f t="shared" si="2"/>
        <v>0</v>
      </c>
      <c r="N30" s="43">
        <f t="shared" si="3"/>
        <v>0</v>
      </c>
    </row>
    <row r="31" spans="1:14" ht="15.75" x14ac:dyDescent="0.25">
      <c r="B31" s="9">
        <v>400</v>
      </c>
      <c r="C31" s="10" t="s">
        <v>14</v>
      </c>
      <c r="D31" s="40">
        <v>25</v>
      </c>
      <c r="E31" s="11"/>
      <c r="F31" s="36">
        <v>0</v>
      </c>
      <c r="G31" s="36">
        <v>0</v>
      </c>
      <c r="H31" s="36">
        <v>0</v>
      </c>
      <c r="I31" s="13">
        <f t="shared" si="0"/>
        <v>0</v>
      </c>
      <c r="J31" s="12"/>
      <c r="K31" s="14">
        <f t="shared" si="1"/>
        <v>0</v>
      </c>
      <c r="M31" s="34">
        <f t="shared" si="2"/>
        <v>0</v>
      </c>
      <c r="N31" s="43">
        <f t="shared" si="3"/>
        <v>0</v>
      </c>
    </row>
    <row r="32" spans="1:14" ht="15.75" x14ac:dyDescent="0.25">
      <c r="B32" s="9">
        <v>400</v>
      </c>
      <c r="C32" s="10" t="s">
        <v>16</v>
      </c>
      <c r="D32" s="40">
        <v>25</v>
      </c>
      <c r="E32" s="11"/>
      <c r="F32" s="36">
        <v>0</v>
      </c>
      <c r="G32" s="36">
        <v>0</v>
      </c>
      <c r="H32" s="36">
        <v>0</v>
      </c>
      <c r="I32" s="13">
        <f t="shared" si="0"/>
        <v>0</v>
      </c>
      <c r="J32" s="12"/>
      <c r="K32" s="14">
        <f t="shared" si="1"/>
        <v>0</v>
      </c>
      <c r="M32" s="34">
        <f t="shared" si="2"/>
        <v>0</v>
      </c>
      <c r="N32" s="43">
        <f t="shared" si="3"/>
        <v>0</v>
      </c>
    </row>
    <row r="33" spans="1:14" ht="15.75" x14ac:dyDescent="0.25">
      <c r="A33">
        <v>522495</v>
      </c>
      <c r="B33" s="9">
        <v>360</v>
      </c>
      <c r="C33" s="10" t="s">
        <v>34</v>
      </c>
      <c r="D33" s="40">
        <v>23.5</v>
      </c>
      <c r="E33" s="11">
        <v>34</v>
      </c>
      <c r="F33" s="36">
        <v>10</v>
      </c>
      <c r="G33" s="36">
        <v>2</v>
      </c>
      <c r="H33" s="36">
        <v>5</v>
      </c>
      <c r="I33" s="13">
        <f t="shared" si="0"/>
        <v>51</v>
      </c>
      <c r="J33" s="12"/>
      <c r="K33" s="14">
        <f t="shared" si="1"/>
        <v>51</v>
      </c>
      <c r="L33">
        <v>51</v>
      </c>
      <c r="M33" s="34">
        <f t="shared" si="2"/>
        <v>0</v>
      </c>
      <c r="N33" s="43">
        <f t="shared" si="3"/>
        <v>1198.5</v>
      </c>
    </row>
    <row r="34" spans="1:14" ht="15.75" x14ac:dyDescent="0.25">
      <c r="A34">
        <v>501504</v>
      </c>
      <c r="B34" s="9">
        <v>360</v>
      </c>
      <c r="C34" s="10" t="s">
        <v>35</v>
      </c>
      <c r="D34" s="40">
        <v>23.5</v>
      </c>
      <c r="E34" s="11"/>
      <c r="F34" s="36">
        <v>0</v>
      </c>
      <c r="G34" s="36">
        <v>0</v>
      </c>
      <c r="H34" s="36">
        <v>0</v>
      </c>
      <c r="I34" s="13">
        <f t="shared" si="0"/>
        <v>0</v>
      </c>
      <c r="J34" s="12"/>
      <c r="K34" s="14">
        <f t="shared" si="1"/>
        <v>0</v>
      </c>
      <c r="M34" s="34">
        <f t="shared" si="2"/>
        <v>0</v>
      </c>
      <c r="N34" s="43">
        <f t="shared" si="3"/>
        <v>0</v>
      </c>
    </row>
    <row r="35" spans="1:14" ht="15.75" x14ac:dyDescent="0.25">
      <c r="A35">
        <v>500713</v>
      </c>
      <c r="B35" s="9">
        <v>360</v>
      </c>
      <c r="C35" s="10" t="s">
        <v>36</v>
      </c>
      <c r="D35" s="40">
        <v>47</v>
      </c>
      <c r="E35" s="11"/>
      <c r="F35" s="36">
        <v>0</v>
      </c>
      <c r="G35" s="36">
        <v>0</v>
      </c>
      <c r="H35" s="36">
        <v>0</v>
      </c>
      <c r="I35" s="13">
        <f t="shared" si="0"/>
        <v>0</v>
      </c>
      <c r="J35" s="12"/>
      <c r="K35" s="14">
        <f t="shared" si="1"/>
        <v>0</v>
      </c>
      <c r="M35" s="34">
        <f t="shared" si="2"/>
        <v>0</v>
      </c>
      <c r="N35" s="43">
        <f t="shared" si="3"/>
        <v>0</v>
      </c>
    </row>
    <row r="36" spans="1:14" ht="15.75" x14ac:dyDescent="0.25">
      <c r="A36">
        <v>523271</v>
      </c>
      <c r="B36" s="9">
        <v>400</v>
      </c>
      <c r="C36" s="17" t="s">
        <v>20</v>
      </c>
      <c r="D36" s="40">
        <v>25</v>
      </c>
      <c r="E36" s="11"/>
      <c r="F36" s="36">
        <v>0</v>
      </c>
      <c r="G36" s="36">
        <v>0</v>
      </c>
      <c r="H36" s="36">
        <v>0</v>
      </c>
      <c r="I36" s="13">
        <f t="shared" si="0"/>
        <v>0</v>
      </c>
      <c r="J36" s="12"/>
      <c r="K36" s="14">
        <f t="shared" si="1"/>
        <v>0</v>
      </c>
      <c r="M36" s="34">
        <f t="shared" si="2"/>
        <v>0</v>
      </c>
      <c r="N36" s="43">
        <f t="shared" si="3"/>
        <v>0</v>
      </c>
    </row>
    <row r="37" spans="1:14" ht="15.75" x14ac:dyDescent="0.25">
      <c r="A37">
        <v>521721</v>
      </c>
      <c r="B37" s="9">
        <v>400</v>
      </c>
      <c r="C37" s="17" t="s">
        <v>13</v>
      </c>
      <c r="D37" s="40">
        <v>25</v>
      </c>
      <c r="E37" s="11"/>
      <c r="F37" s="36">
        <v>0</v>
      </c>
      <c r="G37" s="36">
        <v>0</v>
      </c>
      <c r="H37" s="36">
        <v>0</v>
      </c>
      <c r="I37" s="13">
        <f t="shared" si="0"/>
        <v>0</v>
      </c>
      <c r="J37" s="12"/>
      <c r="K37" s="14">
        <f t="shared" si="1"/>
        <v>0</v>
      </c>
      <c r="M37" s="34">
        <f t="shared" si="2"/>
        <v>0</v>
      </c>
      <c r="N37" s="43">
        <f t="shared" si="3"/>
        <v>0</v>
      </c>
    </row>
    <row r="38" spans="1:14" ht="15.75" x14ac:dyDescent="0.25">
      <c r="B38" s="9">
        <v>360</v>
      </c>
      <c r="C38" s="10" t="s">
        <v>27</v>
      </c>
      <c r="D38" s="40">
        <v>25</v>
      </c>
      <c r="E38" s="11"/>
      <c r="F38" s="36">
        <v>0</v>
      </c>
      <c r="G38" s="36">
        <v>0</v>
      </c>
      <c r="H38" s="36">
        <v>0</v>
      </c>
      <c r="I38" s="13">
        <f t="shared" si="0"/>
        <v>0</v>
      </c>
      <c r="J38" s="12"/>
      <c r="K38" s="14">
        <f t="shared" si="1"/>
        <v>0</v>
      </c>
      <c r="M38" s="34">
        <f t="shared" si="2"/>
        <v>0</v>
      </c>
      <c r="N38" s="43">
        <f t="shared" si="3"/>
        <v>0</v>
      </c>
    </row>
    <row r="39" spans="1:14" ht="15.75" x14ac:dyDescent="0.25">
      <c r="B39" s="9">
        <v>360</v>
      </c>
      <c r="C39" s="10" t="s">
        <v>37</v>
      </c>
      <c r="D39" s="40">
        <v>25</v>
      </c>
      <c r="E39" s="11"/>
      <c r="F39" s="36">
        <v>0</v>
      </c>
      <c r="G39" s="36">
        <v>0</v>
      </c>
      <c r="H39" s="36">
        <v>0</v>
      </c>
      <c r="I39" s="13">
        <f t="shared" si="0"/>
        <v>0</v>
      </c>
      <c r="J39" s="12"/>
      <c r="K39" s="14">
        <f t="shared" si="1"/>
        <v>0</v>
      </c>
      <c r="M39" s="34">
        <f t="shared" si="2"/>
        <v>0</v>
      </c>
      <c r="N39" s="43">
        <f t="shared" si="3"/>
        <v>0</v>
      </c>
    </row>
    <row r="40" spans="1:14" ht="15.75" x14ac:dyDescent="0.25">
      <c r="B40" s="9">
        <v>360</v>
      </c>
      <c r="C40" s="10" t="s">
        <v>38</v>
      </c>
      <c r="D40" s="40">
        <v>25</v>
      </c>
      <c r="E40" s="11"/>
      <c r="F40" s="36">
        <v>0</v>
      </c>
      <c r="G40" s="36">
        <v>0</v>
      </c>
      <c r="H40" s="36">
        <v>0</v>
      </c>
      <c r="I40" s="13">
        <f t="shared" si="0"/>
        <v>0</v>
      </c>
      <c r="J40" s="12"/>
      <c r="K40" s="14">
        <f t="shared" si="1"/>
        <v>0</v>
      </c>
      <c r="M40" s="34">
        <f t="shared" si="2"/>
        <v>0</v>
      </c>
      <c r="N40" s="43">
        <f t="shared" si="3"/>
        <v>0</v>
      </c>
    </row>
    <row r="41" spans="1:14" ht="15.75" x14ac:dyDescent="0.25">
      <c r="B41" s="9">
        <v>375</v>
      </c>
      <c r="C41" s="10" t="s">
        <v>39</v>
      </c>
      <c r="D41" s="40">
        <v>25</v>
      </c>
      <c r="E41" s="11"/>
      <c r="F41" s="36">
        <v>0</v>
      </c>
      <c r="G41" s="36">
        <v>0</v>
      </c>
      <c r="H41" s="36">
        <v>0</v>
      </c>
      <c r="I41" s="13">
        <f t="shared" si="0"/>
        <v>0</v>
      </c>
      <c r="J41" s="12"/>
      <c r="K41" s="14">
        <f t="shared" si="1"/>
        <v>0</v>
      </c>
      <c r="M41" s="34">
        <f t="shared" si="2"/>
        <v>0</v>
      </c>
      <c r="N41" s="43">
        <f t="shared" si="3"/>
        <v>0</v>
      </c>
    </row>
    <row r="42" spans="1:14" ht="15.75" x14ac:dyDescent="0.25">
      <c r="A42">
        <v>598908</v>
      </c>
      <c r="B42" s="9">
        <v>355</v>
      </c>
      <c r="C42" s="10" t="s">
        <v>40</v>
      </c>
      <c r="D42" s="40">
        <v>15</v>
      </c>
      <c r="E42" s="11"/>
      <c r="F42" s="36">
        <v>0</v>
      </c>
      <c r="G42" s="36">
        <v>0</v>
      </c>
      <c r="H42" s="36">
        <v>0</v>
      </c>
      <c r="I42" s="13">
        <f t="shared" si="0"/>
        <v>0</v>
      </c>
      <c r="J42" s="12"/>
      <c r="K42" s="14">
        <f t="shared" si="1"/>
        <v>0</v>
      </c>
      <c r="M42" s="34">
        <f t="shared" si="2"/>
        <v>0</v>
      </c>
      <c r="N42" s="43">
        <f t="shared" si="3"/>
        <v>0</v>
      </c>
    </row>
    <row r="43" spans="1:14" ht="15.75" x14ac:dyDescent="0.25">
      <c r="A43">
        <v>599149</v>
      </c>
      <c r="B43" s="9">
        <v>300</v>
      </c>
      <c r="C43" s="17" t="s">
        <v>41</v>
      </c>
      <c r="D43" s="40">
        <v>30</v>
      </c>
      <c r="E43" s="11"/>
      <c r="F43" s="36">
        <v>0</v>
      </c>
      <c r="G43" s="36">
        <v>0</v>
      </c>
      <c r="H43" s="36">
        <v>0</v>
      </c>
      <c r="I43" s="13">
        <f t="shared" si="0"/>
        <v>0</v>
      </c>
      <c r="J43" s="12"/>
      <c r="K43" s="14">
        <f t="shared" si="1"/>
        <v>0</v>
      </c>
      <c r="M43" s="34">
        <f t="shared" si="2"/>
        <v>0</v>
      </c>
      <c r="N43" s="43">
        <f t="shared" si="3"/>
        <v>0</v>
      </c>
    </row>
    <row r="44" spans="1:14" ht="15.75" x14ac:dyDescent="0.25">
      <c r="B44" s="9">
        <v>355</v>
      </c>
      <c r="C44" s="10" t="s">
        <v>42</v>
      </c>
      <c r="D44" s="40">
        <v>17.5</v>
      </c>
      <c r="E44" s="11"/>
      <c r="F44" s="36">
        <v>0</v>
      </c>
      <c r="G44" s="36">
        <v>0</v>
      </c>
      <c r="H44" s="36">
        <v>0</v>
      </c>
      <c r="I44" s="13">
        <f t="shared" si="0"/>
        <v>0</v>
      </c>
      <c r="J44" s="12"/>
      <c r="K44" s="14">
        <f t="shared" si="1"/>
        <v>0</v>
      </c>
      <c r="M44" s="34">
        <f t="shared" si="2"/>
        <v>0</v>
      </c>
      <c r="N44" s="43">
        <f t="shared" si="3"/>
        <v>0</v>
      </c>
    </row>
    <row r="45" spans="1:14" ht="15.75" x14ac:dyDescent="0.25">
      <c r="B45" s="9">
        <v>355</v>
      </c>
      <c r="C45" s="10" t="s">
        <v>43</v>
      </c>
      <c r="D45" s="40">
        <v>17.5</v>
      </c>
      <c r="E45" s="11"/>
      <c r="F45" s="36">
        <v>0</v>
      </c>
      <c r="G45" s="36">
        <v>0</v>
      </c>
      <c r="H45" s="36">
        <v>0</v>
      </c>
      <c r="I45" s="13">
        <f t="shared" si="0"/>
        <v>0</v>
      </c>
      <c r="J45" s="12"/>
      <c r="K45" s="14">
        <f t="shared" si="1"/>
        <v>0</v>
      </c>
      <c r="M45" s="34">
        <f t="shared" si="2"/>
        <v>0</v>
      </c>
      <c r="N45" s="43">
        <f t="shared" si="3"/>
        <v>0</v>
      </c>
    </row>
    <row r="46" spans="1:14" ht="15.75" x14ac:dyDescent="0.25">
      <c r="B46" s="9">
        <v>355</v>
      </c>
      <c r="C46" s="10" t="s">
        <v>44</v>
      </c>
      <c r="D46" s="40">
        <v>17.5</v>
      </c>
      <c r="E46" s="11"/>
      <c r="F46" s="36">
        <v>0</v>
      </c>
      <c r="G46" s="36">
        <v>0</v>
      </c>
      <c r="H46" s="36">
        <v>0</v>
      </c>
      <c r="I46" s="13">
        <f t="shared" si="0"/>
        <v>0</v>
      </c>
      <c r="J46" s="12"/>
      <c r="K46" s="14">
        <f t="shared" si="1"/>
        <v>0</v>
      </c>
      <c r="M46" s="34">
        <f t="shared" si="2"/>
        <v>0</v>
      </c>
      <c r="N46" s="43">
        <f t="shared" si="3"/>
        <v>0</v>
      </c>
    </row>
    <row r="47" spans="1:14" ht="15.75" x14ac:dyDescent="0.25">
      <c r="B47" s="9">
        <v>355</v>
      </c>
      <c r="C47" s="10" t="s">
        <v>45</v>
      </c>
      <c r="D47" s="40">
        <v>17.5</v>
      </c>
      <c r="E47" s="11"/>
      <c r="F47" s="36">
        <v>0</v>
      </c>
      <c r="G47" s="36">
        <v>0</v>
      </c>
      <c r="H47" s="36">
        <v>0</v>
      </c>
      <c r="I47" s="13">
        <f t="shared" si="0"/>
        <v>0</v>
      </c>
      <c r="J47" s="12"/>
      <c r="K47" s="14">
        <f t="shared" si="1"/>
        <v>0</v>
      </c>
      <c r="M47" s="34">
        <f t="shared" si="2"/>
        <v>0</v>
      </c>
      <c r="N47" s="43">
        <f t="shared" si="3"/>
        <v>0</v>
      </c>
    </row>
    <row r="48" spans="1:14" ht="15.75" x14ac:dyDescent="0.25">
      <c r="B48" s="9">
        <v>355</v>
      </c>
      <c r="C48" s="10" t="s">
        <v>46</v>
      </c>
      <c r="D48" s="40">
        <v>17.5</v>
      </c>
      <c r="E48" s="11"/>
      <c r="F48" s="36">
        <v>0</v>
      </c>
      <c r="G48" s="36">
        <v>0</v>
      </c>
      <c r="H48" s="36">
        <v>0</v>
      </c>
      <c r="I48" s="13">
        <f t="shared" si="0"/>
        <v>0</v>
      </c>
      <c r="J48" s="12"/>
      <c r="K48" s="14">
        <f t="shared" si="1"/>
        <v>0</v>
      </c>
      <c r="M48" s="34">
        <f t="shared" si="2"/>
        <v>0</v>
      </c>
      <c r="N48" s="43">
        <f t="shared" si="3"/>
        <v>0</v>
      </c>
    </row>
    <row r="49" spans="1:14" ht="15.75" x14ac:dyDescent="0.25">
      <c r="B49" s="9">
        <v>625</v>
      </c>
      <c r="C49" s="10" t="s">
        <v>41</v>
      </c>
      <c r="D49" s="40">
        <v>50</v>
      </c>
      <c r="E49" s="11"/>
      <c r="F49" s="36">
        <v>0</v>
      </c>
      <c r="G49" s="36">
        <v>0</v>
      </c>
      <c r="H49" s="36">
        <v>0</v>
      </c>
      <c r="I49" s="13">
        <f t="shared" si="0"/>
        <v>0</v>
      </c>
      <c r="J49" s="12"/>
      <c r="K49" s="14">
        <f t="shared" si="1"/>
        <v>0</v>
      </c>
      <c r="M49" s="34">
        <f t="shared" si="2"/>
        <v>0</v>
      </c>
      <c r="N49" s="43">
        <f t="shared" si="3"/>
        <v>0</v>
      </c>
    </row>
    <row r="50" spans="1:14" ht="15.75" x14ac:dyDescent="0.25">
      <c r="B50" s="9">
        <v>625</v>
      </c>
      <c r="C50" s="10" t="s">
        <v>47</v>
      </c>
      <c r="D50" s="40">
        <v>40</v>
      </c>
      <c r="E50" s="11"/>
      <c r="F50" s="36">
        <v>0</v>
      </c>
      <c r="G50" s="36">
        <v>0</v>
      </c>
      <c r="H50" s="36">
        <v>0</v>
      </c>
      <c r="I50" s="13">
        <f t="shared" si="0"/>
        <v>0</v>
      </c>
      <c r="J50" s="12"/>
      <c r="K50" s="14">
        <f t="shared" si="1"/>
        <v>0</v>
      </c>
      <c r="M50" s="34">
        <f t="shared" si="2"/>
        <v>0</v>
      </c>
      <c r="N50" s="43">
        <f t="shared" si="3"/>
        <v>0</v>
      </c>
    </row>
    <row r="51" spans="1:14" ht="15.75" x14ac:dyDescent="0.25">
      <c r="A51">
        <v>517209</v>
      </c>
      <c r="B51" s="18">
        <v>360</v>
      </c>
      <c r="C51" s="10" t="s">
        <v>47</v>
      </c>
      <c r="D51" s="40">
        <v>30</v>
      </c>
      <c r="E51" s="11">
        <v>1</v>
      </c>
      <c r="F51" s="36">
        <v>0</v>
      </c>
      <c r="G51" s="36">
        <v>3</v>
      </c>
      <c r="H51" s="36">
        <v>0</v>
      </c>
      <c r="I51" s="13">
        <f t="shared" si="0"/>
        <v>4</v>
      </c>
      <c r="J51" s="12"/>
      <c r="K51" s="14">
        <f t="shared" si="1"/>
        <v>4</v>
      </c>
      <c r="L51">
        <v>4</v>
      </c>
      <c r="M51" s="34">
        <f t="shared" si="2"/>
        <v>0</v>
      </c>
      <c r="N51" s="43">
        <f t="shared" si="3"/>
        <v>120</v>
      </c>
    </row>
    <row r="52" spans="1:14" ht="15.75" x14ac:dyDescent="0.25">
      <c r="B52" s="18">
        <v>625</v>
      </c>
      <c r="C52" s="10" t="s">
        <v>48</v>
      </c>
      <c r="D52" s="40">
        <v>21</v>
      </c>
      <c r="E52" s="11"/>
      <c r="F52" s="36">
        <v>0</v>
      </c>
      <c r="G52" s="36">
        <v>0</v>
      </c>
      <c r="H52" s="36">
        <v>0</v>
      </c>
      <c r="I52" s="13">
        <f t="shared" si="0"/>
        <v>0</v>
      </c>
      <c r="J52" s="12"/>
      <c r="K52" s="14">
        <f t="shared" si="1"/>
        <v>0</v>
      </c>
      <c r="M52" s="34">
        <f t="shared" si="2"/>
        <v>0</v>
      </c>
      <c r="N52" s="43">
        <f t="shared" si="3"/>
        <v>0</v>
      </c>
    </row>
    <row r="53" spans="1:14" ht="15.75" x14ac:dyDescent="0.25">
      <c r="A53">
        <v>522919</v>
      </c>
      <c r="B53" s="19">
        <v>625</v>
      </c>
      <c r="C53" s="17" t="s">
        <v>49</v>
      </c>
      <c r="D53" s="40">
        <v>40</v>
      </c>
      <c r="E53" s="11">
        <v>87</v>
      </c>
      <c r="F53" s="36">
        <v>50</v>
      </c>
      <c r="G53" s="36">
        <v>10</v>
      </c>
      <c r="H53" s="36">
        <v>10</v>
      </c>
      <c r="I53" s="13">
        <f t="shared" si="0"/>
        <v>157</v>
      </c>
      <c r="J53" s="12"/>
      <c r="K53" s="14">
        <f>I53-J53</f>
        <v>157</v>
      </c>
      <c r="L53">
        <v>164</v>
      </c>
      <c r="M53" s="34">
        <f t="shared" si="2"/>
        <v>7</v>
      </c>
      <c r="N53" s="43">
        <f t="shared" si="3"/>
        <v>6280</v>
      </c>
    </row>
    <row r="54" spans="1:14" ht="15.75" x14ac:dyDescent="0.25">
      <c r="A54">
        <v>522918</v>
      </c>
      <c r="B54" s="18">
        <v>375</v>
      </c>
      <c r="C54" s="10" t="s">
        <v>48</v>
      </c>
      <c r="D54" s="40">
        <v>26</v>
      </c>
      <c r="E54" s="11">
        <v>65</v>
      </c>
      <c r="F54" s="36">
        <v>14</v>
      </c>
      <c r="G54" s="36">
        <v>10</v>
      </c>
      <c r="H54" s="36">
        <v>10</v>
      </c>
      <c r="I54" s="13">
        <f t="shared" si="0"/>
        <v>99</v>
      </c>
      <c r="J54" s="12"/>
      <c r="K54" s="14">
        <f t="shared" si="1"/>
        <v>99</v>
      </c>
      <c r="L54">
        <v>99</v>
      </c>
      <c r="M54" s="34">
        <f t="shared" si="2"/>
        <v>0</v>
      </c>
      <c r="N54" s="43">
        <f t="shared" si="3"/>
        <v>2574</v>
      </c>
    </row>
    <row r="55" spans="1:14" ht="15.75" x14ac:dyDescent="0.25">
      <c r="B55" s="20">
        <v>375</v>
      </c>
      <c r="C55" s="21" t="s">
        <v>50</v>
      </c>
      <c r="D55" s="40">
        <v>25</v>
      </c>
      <c r="E55" s="11"/>
      <c r="F55" s="36">
        <v>0</v>
      </c>
      <c r="G55" s="36">
        <v>0</v>
      </c>
      <c r="H55" s="36">
        <v>0</v>
      </c>
      <c r="I55" s="13">
        <f t="shared" si="0"/>
        <v>0</v>
      </c>
      <c r="J55" s="12"/>
      <c r="K55" s="14">
        <f t="shared" si="1"/>
        <v>0</v>
      </c>
      <c r="M55" s="34">
        <f t="shared" si="2"/>
        <v>0</v>
      </c>
      <c r="N55" s="43">
        <f t="shared" si="3"/>
        <v>0</v>
      </c>
    </row>
    <row r="56" spans="1:14" ht="15.75" x14ac:dyDescent="0.25">
      <c r="A56">
        <v>522920</v>
      </c>
      <c r="B56" s="22">
        <v>1.3</v>
      </c>
      <c r="C56" s="23" t="s">
        <v>51</v>
      </c>
      <c r="D56" s="40">
        <v>23</v>
      </c>
      <c r="E56" s="11"/>
      <c r="F56" s="36">
        <v>0</v>
      </c>
      <c r="G56" s="36">
        <v>0</v>
      </c>
      <c r="H56" s="36">
        <v>0</v>
      </c>
      <c r="I56" s="13">
        <f t="shared" si="0"/>
        <v>0</v>
      </c>
      <c r="J56" s="12"/>
      <c r="K56" s="14">
        <f>I56-J56</f>
        <v>0</v>
      </c>
      <c r="M56" s="34">
        <f t="shared" si="2"/>
        <v>0</v>
      </c>
      <c r="N56" s="43">
        <f t="shared" si="3"/>
        <v>0</v>
      </c>
    </row>
    <row r="57" spans="1:14" ht="15.75" x14ac:dyDescent="0.25">
      <c r="A57">
        <v>523533</v>
      </c>
      <c r="B57" s="22">
        <v>1000</v>
      </c>
      <c r="C57" s="23" t="s">
        <v>48</v>
      </c>
      <c r="D57" s="40">
        <v>31</v>
      </c>
      <c r="E57" s="11">
        <v>16</v>
      </c>
      <c r="F57" s="36">
        <v>27</v>
      </c>
      <c r="G57" s="36">
        <v>13</v>
      </c>
      <c r="H57" s="36">
        <v>15</v>
      </c>
      <c r="I57" s="13">
        <f t="shared" si="0"/>
        <v>71</v>
      </c>
      <c r="J57" s="12"/>
      <c r="K57" s="14">
        <f>I57-J57</f>
        <v>71</v>
      </c>
      <c r="L57">
        <v>71</v>
      </c>
      <c r="M57" s="34">
        <f t="shared" si="2"/>
        <v>0</v>
      </c>
      <c r="N57" s="43">
        <f t="shared" si="3"/>
        <v>2201</v>
      </c>
    </row>
    <row r="58" spans="1:14" ht="15.75" x14ac:dyDescent="0.25">
      <c r="B58" s="9">
        <v>3300</v>
      </c>
      <c r="C58" s="10" t="s">
        <v>48</v>
      </c>
      <c r="D58" s="40">
        <v>30</v>
      </c>
      <c r="E58" s="11"/>
      <c r="F58" s="36">
        <v>0</v>
      </c>
      <c r="G58" s="36">
        <v>0</v>
      </c>
      <c r="H58" s="36">
        <v>0</v>
      </c>
      <c r="I58" s="13">
        <f t="shared" si="0"/>
        <v>0</v>
      </c>
      <c r="J58" s="12"/>
      <c r="K58" s="14">
        <f t="shared" ref="K58:K122" si="4">I58-J58</f>
        <v>0</v>
      </c>
      <c r="M58" s="34">
        <f t="shared" si="2"/>
        <v>0</v>
      </c>
      <c r="N58" s="43">
        <f t="shared" si="3"/>
        <v>0</v>
      </c>
    </row>
    <row r="59" spans="1:14" ht="15.75" x14ac:dyDescent="0.25">
      <c r="A59">
        <v>598820</v>
      </c>
      <c r="B59" s="18">
        <v>145</v>
      </c>
      <c r="C59" s="10" t="s">
        <v>52</v>
      </c>
      <c r="D59" s="40">
        <v>15</v>
      </c>
      <c r="E59" s="11"/>
      <c r="F59" s="36">
        <v>0</v>
      </c>
      <c r="G59" s="36">
        <v>0</v>
      </c>
      <c r="H59" s="36">
        <v>0</v>
      </c>
      <c r="I59" s="13">
        <f t="shared" si="0"/>
        <v>0</v>
      </c>
      <c r="J59" s="12"/>
      <c r="K59" s="14">
        <f t="shared" si="4"/>
        <v>0</v>
      </c>
      <c r="M59" s="34">
        <f t="shared" si="2"/>
        <v>0</v>
      </c>
      <c r="N59" s="43">
        <f t="shared" si="3"/>
        <v>0</v>
      </c>
    </row>
    <row r="60" spans="1:14" ht="15.75" x14ac:dyDescent="0.25">
      <c r="A60">
        <v>598821</v>
      </c>
      <c r="B60" s="9">
        <v>145</v>
      </c>
      <c r="C60" s="10" t="s">
        <v>53</v>
      </c>
      <c r="D60" s="40">
        <v>15</v>
      </c>
      <c r="E60" s="11">
        <v>1</v>
      </c>
      <c r="F60" s="36">
        <v>0</v>
      </c>
      <c r="G60" s="36">
        <v>0</v>
      </c>
      <c r="H60" s="36">
        <v>0</v>
      </c>
      <c r="I60" s="13">
        <f t="shared" si="0"/>
        <v>1</v>
      </c>
      <c r="J60" s="12"/>
      <c r="K60" s="14">
        <f t="shared" si="4"/>
        <v>1</v>
      </c>
      <c r="L60">
        <v>1</v>
      </c>
      <c r="M60" s="34">
        <f t="shared" si="2"/>
        <v>0</v>
      </c>
      <c r="N60" s="43">
        <f t="shared" si="3"/>
        <v>15</v>
      </c>
    </row>
    <row r="61" spans="1:14" ht="15.75" x14ac:dyDescent="0.25">
      <c r="B61" s="9">
        <v>145</v>
      </c>
      <c r="C61" s="10" t="s">
        <v>54</v>
      </c>
      <c r="D61" s="40">
        <v>15</v>
      </c>
      <c r="E61" s="11"/>
      <c r="F61" s="36">
        <v>0</v>
      </c>
      <c r="G61" s="36">
        <v>0</v>
      </c>
      <c r="H61" s="36">
        <v>0</v>
      </c>
      <c r="I61" s="13">
        <f t="shared" si="0"/>
        <v>0</v>
      </c>
      <c r="J61" s="12"/>
      <c r="K61" s="14">
        <f t="shared" si="4"/>
        <v>0</v>
      </c>
      <c r="M61" s="34">
        <f t="shared" si="2"/>
        <v>0</v>
      </c>
      <c r="N61" s="43">
        <f t="shared" si="3"/>
        <v>0</v>
      </c>
    </row>
    <row r="62" spans="1:14" ht="15.75" x14ac:dyDescent="0.25">
      <c r="B62" s="9">
        <v>145</v>
      </c>
      <c r="C62" s="10" t="s">
        <v>55</v>
      </c>
      <c r="D62" s="40">
        <v>15</v>
      </c>
      <c r="E62" s="11"/>
      <c r="F62" s="36">
        <v>0</v>
      </c>
      <c r="G62" s="36">
        <v>0</v>
      </c>
      <c r="H62" s="36">
        <v>0</v>
      </c>
      <c r="I62" s="13">
        <f t="shared" si="0"/>
        <v>0</v>
      </c>
      <c r="J62" s="12"/>
      <c r="K62" s="14">
        <f t="shared" si="4"/>
        <v>0</v>
      </c>
      <c r="M62" s="34">
        <f t="shared" si="2"/>
        <v>0</v>
      </c>
      <c r="N62" s="43">
        <f t="shared" si="3"/>
        <v>0</v>
      </c>
    </row>
    <row r="63" spans="1:14" ht="15.75" x14ac:dyDescent="0.25">
      <c r="B63" s="9">
        <v>145</v>
      </c>
      <c r="C63" s="10" t="s">
        <v>56</v>
      </c>
      <c r="D63" s="40">
        <v>15</v>
      </c>
      <c r="E63" s="11"/>
      <c r="F63" s="36">
        <v>0</v>
      </c>
      <c r="G63" s="36">
        <v>0</v>
      </c>
      <c r="H63" s="36">
        <v>0</v>
      </c>
      <c r="I63" s="13">
        <f t="shared" si="0"/>
        <v>0</v>
      </c>
      <c r="J63" s="12"/>
      <c r="K63" s="14">
        <f t="shared" si="4"/>
        <v>0</v>
      </c>
      <c r="M63" s="34">
        <f t="shared" si="2"/>
        <v>0</v>
      </c>
      <c r="N63" s="43">
        <f t="shared" si="3"/>
        <v>0</v>
      </c>
    </row>
    <row r="64" spans="1:14" ht="15.75" x14ac:dyDescent="0.25">
      <c r="B64" s="9">
        <v>145</v>
      </c>
      <c r="C64" s="10" t="s">
        <v>57</v>
      </c>
      <c r="D64" s="40">
        <v>15</v>
      </c>
      <c r="E64" s="11"/>
      <c r="F64" s="36">
        <v>0</v>
      </c>
      <c r="G64" s="36">
        <v>0</v>
      </c>
      <c r="H64" s="36">
        <v>0</v>
      </c>
      <c r="I64" s="13">
        <f t="shared" si="0"/>
        <v>0</v>
      </c>
      <c r="J64" s="12"/>
      <c r="K64" s="14">
        <f t="shared" si="4"/>
        <v>0</v>
      </c>
      <c r="M64" s="34">
        <f t="shared" si="2"/>
        <v>0</v>
      </c>
      <c r="N64" s="43">
        <f t="shared" si="3"/>
        <v>0</v>
      </c>
    </row>
    <row r="65" spans="1:14" ht="15.75" x14ac:dyDescent="0.25">
      <c r="B65" s="9">
        <v>145</v>
      </c>
      <c r="C65" s="10" t="s">
        <v>58</v>
      </c>
      <c r="D65" s="40">
        <v>15</v>
      </c>
      <c r="E65" s="11"/>
      <c r="F65" s="36">
        <v>0</v>
      </c>
      <c r="G65" s="36">
        <v>0</v>
      </c>
      <c r="H65" s="36">
        <v>0</v>
      </c>
      <c r="I65" s="13">
        <f t="shared" si="0"/>
        <v>0</v>
      </c>
      <c r="J65" s="12"/>
      <c r="K65" s="14">
        <f t="shared" si="4"/>
        <v>0</v>
      </c>
      <c r="M65" s="34">
        <f t="shared" si="2"/>
        <v>0</v>
      </c>
      <c r="N65" s="43">
        <f t="shared" si="3"/>
        <v>0</v>
      </c>
    </row>
    <row r="66" spans="1:14" ht="15.75" x14ac:dyDescent="0.25">
      <c r="B66" s="9">
        <v>145</v>
      </c>
      <c r="C66" s="10" t="s">
        <v>59</v>
      </c>
      <c r="D66" s="40">
        <v>15</v>
      </c>
      <c r="E66" s="11"/>
      <c r="F66" s="36">
        <v>0</v>
      </c>
      <c r="G66" s="36">
        <v>0</v>
      </c>
      <c r="H66" s="36">
        <v>0</v>
      </c>
      <c r="I66" s="13">
        <f t="shared" si="0"/>
        <v>0</v>
      </c>
      <c r="J66" s="12"/>
      <c r="K66" s="14">
        <f t="shared" si="4"/>
        <v>0</v>
      </c>
      <c r="M66" s="34">
        <f t="shared" si="2"/>
        <v>0</v>
      </c>
      <c r="N66" s="43">
        <f t="shared" si="3"/>
        <v>0</v>
      </c>
    </row>
    <row r="67" spans="1:14" ht="15.75" x14ac:dyDescent="0.25">
      <c r="B67" s="9"/>
      <c r="C67" s="10" t="s">
        <v>60</v>
      </c>
      <c r="D67" s="40">
        <v>15</v>
      </c>
      <c r="E67" s="11"/>
      <c r="F67" s="36">
        <v>0</v>
      </c>
      <c r="G67" s="36">
        <v>0</v>
      </c>
      <c r="H67" s="36">
        <v>0</v>
      </c>
      <c r="I67" s="13">
        <f t="shared" ref="I67:I131" si="5">E67+F67+G67+H67</f>
        <v>0</v>
      </c>
      <c r="J67" s="12"/>
      <c r="K67" s="14">
        <f t="shared" si="4"/>
        <v>0</v>
      </c>
      <c r="M67" s="34">
        <f t="shared" ref="M67:M130" si="6">L67-I67</f>
        <v>0</v>
      </c>
      <c r="N67" s="43">
        <f t="shared" ref="N67:N130" si="7">I67*D67</f>
        <v>0</v>
      </c>
    </row>
    <row r="68" spans="1:14" ht="15.75" x14ac:dyDescent="0.25">
      <c r="A68">
        <v>523662</v>
      </c>
      <c r="B68" s="9">
        <v>360</v>
      </c>
      <c r="C68" s="10" t="s">
        <v>134</v>
      </c>
      <c r="D68" s="40">
        <v>15</v>
      </c>
      <c r="E68" s="11">
        <v>134</v>
      </c>
      <c r="F68" s="36">
        <v>38</v>
      </c>
      <c r="G68" s="36">
        <v>40</v>
      </c>
      <c r="H68" s="36">
        <v>30</v>
      </c>
      <c r="I68" s="13">
        <f t="shared" si="5"/>
        <v>242</v>
      </c>
      <c r="J68" s="12"/>
      <c r="K68" s="14">
        <f t="shared" si="4"/>
        <v>242</v>
      </c>
      <c r="L68">
        <v>242</v>
      </c>
      <c r="M68" s="34">
        <f t="shared" si="6"/>
        <v>0</v>
      </c>
      <c r="N68" s="43">
        <f t="shared" si="7"/>
        <v>3630</v>
      </c>
    </row>
    <row r="69" spans="1:14" ht="15.75" x14ac:dyDescent="0.25">
      <c r="A69">
        <v>598822</v>
      </c>
      <c r="B69" s="9">
        <v>250</v>
      </c>
      <c r="C69" s="10" t="s">
        <v>61</v>
      </c>
      <c r="D69" s="40">
        <v>25</v>
      </c>
      <c r="E69" s="11"/>
      <c r="F69" s="36">
        <v>0</v>
      </c>
      <c r="G69" s="36">
        <v>0</v>
      </c>
      <c r="H69" s="36">
        <v>0</v>
      </c>
      <c r="I69" s="13">
        <f t="shared" si="5"/>
        <v>0</v>
      </c>
      <c r="J69" s="12"/>
      <c r="K69" s="14">
        <f t="shared" si="4"/>
        <v>0</v>
      </c>
      <c r="M69" s="34">
        <f t="shared" si="6"/>
        <v>0</v>
      </c>
      <c r="N69" s="43">
        <f t="shared" si="7"/>
        <v>0</v>
      </c>
    </row>
    <row r="70" spans="1:14" ht="15.75" x14ac:dyDescent="0.25">
      <c r="A70">
        <v>598823</v>
      </c>
      <c r="B70" s="9">
        <v>250</v>
      </c>
      <c r="C70" s="10" t="s">
        <v>62</v>
      </c>
      <c r="D70" s="40">
        <v>25</v>
      </c>
      <c r="E70" s="11"/>
      <c r="F70" s="36">
        <v>0</v>
      </c>
      <c r="G70" s="36">
        <v>0</v>
      </c>
      <c r="H70" s="36">
        <v>0</v>
      </c>
      <c r="I70" s="13">
        <f t="shared" si="5"/>
        <v>0</v>
      </c>
      <c r="J70" s="12"/>
      <c r="K70" s="14">
        <f t="shared" si="4"/>
        <v>0</v>
      </c>
      <c r="M70" s="34">
        <f t="shared" si="6"/>
        <v>0</v>
      </c>
      <c r="N70" s="43">
        <f t="shared" si="7"/>
        <v>0</v>
      </c>
    </row>
    <row r="71" spans="1:14" ht="15.75" x14ac:dyDescent="0.25">
      <c r="B71" s="9">
        <v>250</v>
      </c>
      <c r="C71" s="10" t="s">
        <v>54</v>
      </c>
      <c r="D71" s="40">
        <v>25</v>
      </c>
      <c r="E71" s="11"/>
      <c r="F71" s="36">
        <v>0</v>
      </c>
      <c r="G71" s="36">
        <v>0</v>
      </c>
      <c r="H71" s="36">
        <v>0</v>
      </c>
      <c r="I71" s="13">
        <f t="shared" si="5"/>
        <v>0</v>
      </c>
      <c r="J71" s="12"/>
      <c r="K71" s="14">
        <f t="shared" si="4"/>
        <v>0</v>
      </c>
      <c r="M71" s="34">
        <f t="shared" si="6"/>
        <v>0</v>
      </c>
      <c r="N71" s="43">
        <f t="shared" si="7"/>
        <v>0</v>
      </c>
    </row>
    <row r="72" spans="1:14" ht="15.75" x14ac:dyDescent="0.25">
      <c r="B72" s="9">
        <v>250</v>
      </c>
      <c r="C72" s="10" t="s">
        <v>55</v>
      </c>
      <c r="D72" s="40">
        <v>25</v>
      </c>
      <c r="E72" s="11"/>
      <c r="F72" s="36">
        <v>0</v>
      </c>
      <c r="G72" s="36">
        <v>0</v>
      </c>
      <c r="H72" s="36">
        <v>0</v>
      </c>
      <c r="I72" s="13">
        <f t="shared" si="5"/>
        <v>0</v>
      </c>
      <c r="J72" s="12"/>
      <c r="K72" s="14">
        <f t="shared" si="4"/>
        <v>0</v>
      </c>
      <c r="M72" s="34">
        <f t="shared" si="6"/>
        <v>0</v>
      </c>
      <c r="N72" s="43">
        <f t="shared" si="7"/>
        <v>0</v>
      </c>
    </row>
    <row r="73" spans="1:14" ht="15.75" x14ac:dyDescent="0.25">
      <c r="B73" s="9">
        <v>250</v>
      </c>
      <c r="C73" s="10" t="s">
        <v>56</v>
      </c>
      <c r="D73" s="40">
        <v>25</v>
      </c>
      <c r="E73" s="11"/>
      <c r="F73" s="36">
        <v>0</v>
      </c>
      <c r="G73" s="36">
        <v>0</v>
      </c>
      <c r="H73" s="36">
        <v>0</v>
      </c>
      <c r="I73" s="13">
        <f t="shared" si="5"/>
        <v>0</v>
      </c>
      <c r="J73" s="12"/>
      <c r="K73" s="14">
        <f t="shared" si="4"/>
        <v>0</v>
      </c>
      <c r="M73" s="34">
        <f t="shared" si="6"/>
        <v>0</v>
      </c>
      <c r="N73" s="43">
        <f t="shared" si="7"/>
        <v>0</v>
      </c>
    </row>
    <row r="74" spans="1:14" ht="15.75" x14ac:dyDescent="0.25">
      <c r="B74" s="9">
        <v>1000</v>
      </c>
      <c r="C74" s="10" t="s">
        <v>52</v>
      </c>
      <c r="D74" s="40">
        <v>35</v>
      </c>
      <c r="E74" s="11"/>
      <c r="F74" s="36">
        <v>0</v>
      </c>
      <c r="G74" s="36">
        <v>0</v>
      </c>
      <c r="H74" s="36">
        <v>0</v>
      </c>
      <c r="I74" s="13">
        <f t="shared" si="5"/>
        <v>0</v>
      </c>
      <c r="J74" s="12"/>
      <c r="K74" s="14">
        <f t="shared" si="4"/>
        <v>0</v>
      </c>
      <c r="M74" s="34">
        <f t="shared" si="6"/>
        <v>0</v>
      </c>
      <c r="N74" s="43">
        <f t="shared" si="7"/>
        <v>0</v>
      </c>
    </row>
    <row r="75" spans="1:14" ht="15.75" x14ac:dyDescent="0.25">
      <c r="B75" s="9">
        <v>1000</v>
      </c>
      <c r="C75" s="10" t="s">
        <v>53</v>
      </c>
      <c r="D75" s="40">
        <v>35</v>
      </c>
      <c r="E75" s="11"/>
      <c r="F75" s="36">
        <v>0</v>
      </c>
      <c r="G75" s="36">
        <v>0</v>
      </c>
      <c r="H75" s="36">
        <v>0</v>
      </c>
      <c r="I75" s="13">
        <f t="shared" si="5"/>
        <v>0</v>
      </c>
      <c r="J75" s="12"/>
      <c r="K75" s="14">
        <f t="shared" si="4"/>
        <v>0</v>
      </c>
      <c r="M75" s="34">
        <f t="shared" si="6"/>
        <v>0</v>
      </c>
      <c r="N75" s="43">
        <f t="shared" si="7"/>
        <v>0</v>
      </c>
    </row>
    <row r="76" spans="1:14" ht="15.75" x14ac:dyDescent="0.25">
      <c r="B76" s="9">
        <v>1000</v>
      </c>
      <c r="C76" s="10" t="s">
        <v>54</v>
      </c>
      <c r="D76" s="40">
        <v>35</v>
      </c>
      <c r="E76" s="11"/>
      <c r="F76" s="36">
        <v>0</v>
      </c>
      <c r="G76" s="36">
        <v>0</v>
      </c>
      <c r="H76" s="36">
        <v>0</v>
      </c>
      <c r="I76" s="13">
        <f t="shared" si="5"/>
        <v>0</v>
      </c>
      <c r="J76" s="12"/>
      <c r="K76" s="14">
        <f t="shared" si="4"/>
        <v>0</v>
      </c>
      <c r="M76" s="34">
        <f t="shared" si="6"/>
        <v>0</v>
      </c>
      <c r="N76" s="43">
        <f t="shared" si="7"/>
        <v>0</v>
      </c>
    </row>
    <row r="77" spans="1:14" ht="15.75" x14ac:dyDescent="0.25">
      <c r="B77" s="9">
        <v>1000</v>
      </c>
      <c r="C77" s="10" t="s">
        <v>55</v>
      </c>
      <c r="D77" s="40">
        <v>35</v>
      </c>
      <c r="E77" s="11"/>
      <c r="F77" s="36">
        <v>0</v>
      </c>
      <c r="G77" s="36">
        <v>0</v>
      </c>
      <c r="H77" s="36">
        <v>0</v>
      </c>
      <c r="I77" s="13">
        <f t="shared" si="5"/>
        <v>0</v>
      </c>
      <c r="J77" s="12"/>
      <c r="K77" s="14">
        <f t="shared" si="4"/>
        <v>0</v>
      </c>
      <c r="M77" s="34">
        <f t="shared" si="6"/>
        <v>0</v>
      </c>
      <c r="N77" s="43">
        <f t="shared" si="7"/>
        <v>0</v>
      </c>
    </row>
    <row r="78" spans="1:14" ht="15.75" x14ac:dyDescent="0.25">
      <c r="B78" s="9">
        <v>1000</v>
      </c>
      <c r="C78" s="10" t="s">
        <v>56</v>
      </c>
      <c r="D78" s="40">
        <v>35</v>
      </c>
      <c r="E78" s="11"/>
      <c r="F78" s="36">
        <v>0</v>
      </c>
      <c r="G78" s="36">
        <v>0</v>
      </c>
      <c r="H78" s="36">
        <v>0</v>
      </c>
      <c r="I78" s="13">
        <f t="shared" si="5"/>
        <v>0</v>
      </c>
      <c r="J78" s="12"/>
      <c r="K78" s="14">
        <f t="shared" si="4"/>
        <v>0</v>
      </c>
      <c r="M78" s="34">
        <f t="shared" si="6"/>
        <v>0</v>
      </c>
      <c r="N78" s="43">
        <f t="shared" si="7"/>
        <v>0</v>
      </c>
    </row>
    <row r="79" spans="1:14" ht="15.75" x14ac:dyDescent="0.25">
      <c r="A79">
        <v>599461</v>
      </c>
      <c r="B79" s="18">
        <v>145</v>
      </c>
      <c r="C79" s="10" t="s">
        <v>63</v>
      </c>
      <c r="D79" s="40">
        <v>15</v>
      </c>
      <c r="E79" s="11"/>
      <c r="F79" s="36">
        <v>0</v>
      </c>
      <c r="G79" s="36">
        <v>0</v>
      </c>
      <c r="H79" s="36">
        <v>0</v>
      </c>
      <c r="I79" s="13">
        <f t="shared" si="5"/>
        <v>0</v>
      </c>
      <c r="J79" s="12"/>
      <c r="K79" s="14">
        <f t="shared" si="4"/>
        <v>0</v>
      </c>
      <c r="M79" s="34">
        <f t="shared" si="6"/>
        <v>0</v>
      </c>
      <c r="N79" s="43">
        <f t="shared" si="7"/>
        <v>0</v>
      </c>
    </row>
    <row r="80" spans="1:14" ht="15.75" x14ac:dyDescent="0.25">
      <c r="B80" s="9">
        <v>145</v>
      </c>
      <c r="C80" s="10" t="s">
        <v>64</v>
      </c>
      <c r="D80" s="40">
        <v>15</v>
      </c>
      <c r="E80" s="11"/>
      <c r="F80" s="36">
        <v>0</v>
      </c>
      <c r="G80" s="36">
        <v>0</v>
      </c>
      <c r="H80" s="36">
        <v>0</v>
      </c>
      <c r="I80" s="13">
        <f t="shared" si="5"/>
        <v>0</v>
      </c>
      <c r="J80" s="12"/>
      <c r="K80" s="14">
        <f t="shared" si="4"/>
        <v>0</v>
      </c>
      <c r="M80" s="34">
        <f t="shared" si="6"/>
        <v>0</v>
      </c>
      <c r="N80" s="43">
        <f t="shared" si="7"/>
        <v>0</v>
      </c>
    </row>
    <row r="81" spans="1:14" ht="15.75" x14ac:dyDescent="0.25">
      <c r="B81" s="9">
        <v>145</v>
      </c>
      <c r="C81" s="10" t="s">
        <v>65</v>
      </c>
      <c r="D81" s="40">
        <v>15</v>
      </c>
      <c r="E81" s="11"/>
      <c r="F81" s="36">
        <v>0</v>
      </c>
      <c r="G81" s="36">
        <v>0</v>
      </c>
      <c r="H81" s="36">
        <v>0</v>
      </c>
      <c r="I81" s="13">
        <f t="shared" si="5"/>
        <v>0</v>
      </c>
      <c r="J81" s="12"/>
      <c r="K81" s="14">
        <f t="shared" si="4"/>
        <v>0</v>
      </c>
      <c r="M81" s="34">
        <f t="shared" si="6"/>
        <v>0</v>
      </c>
      <c r="N81" s="43">
        <f t="shared" si="7"/>
        <v>0</v>
      </c>
    </row>
    <row r="82" spans="1:14" ht="15.75" x14ac:dyDescent="0.25">
      <c r="A82">
        <v>522287</v>
      </c>
      <c r="B82" s="9">
        <v>360</v>
      </c>
      <c r="C82" s="10" t="s">
        <v>66</v>
      </c>
      <c r="D82" s="40">
        <v>20</v>
      </c>
      <c r="E82" s="11"/>
      <c r="F82" s="36">
        <v>0</v>
      </c>
      <c r="G82" s="36">
        <v>0</v>
      </c>
      <c r="H82" s="36">
        <v>0</v>
      </c>
      <c r="I82" s="13">
        <f t="shared" si="5"/>
        <v>0</v>
      </c>
      <c r="J82" s="12"/>
      <c r="K82" s="14">
        <f t="shared" si="4"/>
        <v>0</v>
      </c>
      <c r="M82" s="34">
        <f t="shared" si="6"/>
        <v>0</v>
      </c>
      <c r="N82" s="43">
        <f t="shared" si="7"/>
        <v>0</v>
      </c>
    </row>
    <row r="83" spans="1:14" ht="15.75" x14ac:dyDescent="0.25">
      <c r="A83">
        <v>522286</v>
      </c>
      <c r="B83" s="18">
        <v>360</v>
      </c>
      <c r="C83" s="10" t="s">
        <v>67</v>
      </c>
      <c r="D83" s="40">
        <v>20</v>
      </c>
      <c r="E83" s="11"/>
      <c r="F83" s="36">
        <v>0</v>
      </c>
      <c r="G83" s="36">
        <v>0</v>
      </c>
      <c r="H83" s="36">
        <v>0</v>
      </c>
      <c r="I83" s="13">
        <f t="shared" si="5"/>
        <v>0</v>
      </c>
      <c r="J83" s="12"/>
      <c r="K83" s="14">
        <f t="shared" si="4"/>
        <v>0</v>
      </c>
      <c r="M83" s="34">
        <f t="shared" si="6"/>
        <v>0</v>
      </c>
      <c r="N83" s="43">
        <f t="shared" si="7"/>
        <v>0</v>
      </c>
    </row>
    <row r="84" spans="1:14" ht="15.75" x14ac:dyDescent="0.25">
      <c r="A84">
        <v>522278</v>
      </c>
      <c r="B84" s="18">
        <v>360</v>
      </c>
      <c r="C84" s="10" t="s">
        <v>68</v>
      </c>
      <c r="D84" s="40">
        <v>20</v>
      </c>
      <c r="E84" s="11"/>
      <c r="F84" s="36">
        <v>0</v>
      </c>
      <c r="G84" s="36">
        <v>0</v>
      </c>
      <c r="H84" s="36">
        <v>0</v>
      </c>
      <c r="I84" s="13">
        <f t="shared" si="5"/>
        <v>0</v>
      </c>
      <c r="J84" s="12"/>
      <c r="K84" s="14">
        <f t="shared" si="4"/>
        <v>0</v>
      </c>
      <c r="M84" s="34">
        <f t="shared" si="6"/>
        <v>0</v>
      </c>
      <c r="N84" s="43">
        <f t="shared" si="7"/>
        <v>0</v>
      </c>
    </row>
    <row r="85" spans="1:14" ht="15.75" x14ac:dyDescent="0.25">
      <c r="B85" s="9">
        <v>360</v>
      </c>
      <c r="C85" s="10" t="s">
        <v>69</v>
      </c>
      <c r="D85" s="40">
        <v>20</v>
      </c>
      <c r="E85" s="11"/>
      <c r="F85" s="36">
        <v>0</v>
      </c>
      <c r="G85" s="36">
        <v>0</v>
      </c>
      <c r="H85" s="36">
        <v>0</v>
      </c>
      <c r="I85" s="13">
        <f t="shared" si="5"/>
        <v>0</v>
      </c>
      <c r="J85" s="12"/>
      <c r="K85" s="14">
        <f t="shared" si="4"/>
        <v>0</v>
      </c>
      <c r="M85" s="34">
        <f t="shared" si="6"/>
        <v>0</v>
      </c>
      <c r="N85" s="43">
        <f t="shared" si="7"/>
        <v>0</v>
      </c>
    </row>
    <row r="86" spans="1:14" ht="15.75" x14ac:dyDescent="0.25">
      <c r="B86" s="9">
        <v>360</v>
      </c>
      <c r="C86" s="10" t="s">
        <v>70</v>
      </c>
      <c r="D86" s="40">
        <v>20</v>
      </c>
      <c r="E86" s="11"/>
      <c r="F86" s="36">
        <v>0</v>
      </c>
      <c r="G86" s="36">
        <v>0</v>
      </c>
      <c r="H86" s="36">
        <v>0</v>
      </c>
      <c r="I86" s="13">
        <f t="shared" si="5"/>
        <v>0</v>
      </c>
      <c r="J86" s="12"/>
      <c r="K86" s="14">
        <f t="shared" si="4"/>
        <v>0</v>
      </c>
      <c r="M86" s="34">
        <f t="shared" si="6"/>
        <v>0</v>
      </c>
      <c r="N86" s="43">
        <f t="shared" si="7"/>
        <v>0</v>
      </c>
    </row>
    <row r="87" spans="1:14" ht="15.75" x14ac:dyDescent="0.25">
      <c r="B87" s="9">
        <v>360</v>
      </c>
      <c r="C87" s="10" t="s">
        <v>71</v>
      </c>
      <c r="D87" s="40">
        <v>20</v>
      </c>
      <c r="E87" s="11"/>
      <c r="F87" s="36">
        <v>0</v>
      </c>
      <c r="G87" s="36">
        <v>0</v>
      </c>
      <c r="H87" s="36">
        <v>0</v>
      </c>
      <c r="I87" s="13">
        <f t="shared" si="5"/>
        <v>0</v>
      </c>
      <c r="J87" s="12"/>
      <c r="K87" s="14">
        <f t="shared" si="4"/>
        <v>0</v>
      </c>
      <c r="M87" s="34">
        <f t="shared" si="6"/>
        <v>0</v>
      </c>
      <c r="N87" s="43">
        <f t="shared" si="7"/>
        <v>0</v>
      </c>
    </row>
    <row r="88" spans="1:14" ht="15.75" x14ac:dyDescent="0.25">
      <c r="B88" s="9">
        <v>360</v>
      </c>
      <c r="C88" s="10" t="s">
        <v>72</v>
      </c>
      <c r="D88" s="40">
        <v>20</v>
      </c>
      <c r="E88" s="11"/>
      <c r="F88" s="36">
        <v>0</v>
      </c>
      <c r="G88" s="36">
        <v>0</v>
      </c>
      <c r="H88" s="36">
        <v>0</v>
      </c>
      <c r="I88" s="13">
        <f t="shared" si="5"/>
        <v>0</v>
      </c>
      <c r="J88" s="12"/>
      <c r="K88" s="14">
        <f t="shared" si="4"/>
        <v>0</v>
      </c>
      <c r="M88" s="34">
        <f t="shared" si="6"/>
        <v>0</v>
      </c>
      <c r="N88" s="43">
        <f t="shared" si="7"/>
        <v>0</v>
      </c>
    </row>
    <row r="89" spans="1:14" ht="15.75" x14ac:dyDescent="0.25">
      <c r="A89">
        <v>522501</v>
      </c>
      <c r="B89" s="9">
        <v>625</v>
      </c>
      <c r="C89" s="10" t="s">
        <v>66</v>
      </c>
      <c r="D89" s="40">
        <v>50</v>
      </c>
      <c r="E89" s="11">
        <v>70</v>
      </c>
      <c r="F89" s="36">
        <v>30</v>
      </c>
      <c r="G89" s="36">
        <v>22</v>
      </c>
      <c r="H89" s="36">
        <v>47</v>
      </c>
      <c r="I89" s="13">
        <f t="shared" si="5"/>
        <v>169</v>
      </c>
      <c r="J89" s="12"/>
      <c r="K89" s="14">
        <f>I89-J89</f>
        <v>169</v>
      </c>
      <c r="L89">
        <v>169</v>
      </c>
      <c r="M89" s="34">
        <f t="shared" si="6"/>
        <v>0</v>
      </c>
      <c r="N89" s="43">
        <f t="shared" si="7"/>
        <v>8450</v>
      </c>
    </row>
    <row r="90" spans="1:14" ht="15.75" x14ac:dyDescent="0.25">
      <c r="A90">
        <v>522502</v>
      </c>
      <c r="B90" s="9">
        <v>625</v>
      </c>
      <c r="C90" s="10" t="s">
        <v>68</v>
      </c>
      <c r="D90" s="40">
        <v>50</v>
      </c>
      <c r="E90" s="11">
        <v>27</v>
      </c>
      <c r="F90" s="36">
        <v>32</v>
      </c>
      <c r="G90" s="36">
        <v>27</v>
      </c>
      <c r="H90" s="36">
        <v>36</v>
      </c>
      <c r="I90" s="13">
        <f t="shared" si="5"/>
        <v>122</v>
      </c>
      <c r="J90" s="12"/>
      <c r="K90" s="14">
        <f t="shared" si="4"/>
        <v>122</v>
      </c>
      <c r="L90">
        <v>122</v>
      </c>
      <c r="M90" s="34">
        <f t="shared" si="6"/>
        <v>0</v>
      </c>
      <c r="N90" s="43">
        <f t="shared" si="7"/>
        <v>6100</v>
      </c>
    </row>
    <row r="91" spans="1:14" ht="15.75" x14ac:dyDescent="0.25">
      <c r="A91">
        <v>522500</v>
      </c>
      <c r="B91" s="9">
        <v>625</v>
      </c>
      <c r="C91" s="10" t="s">
        <v>67</v>
      </c>
      <c r="D91" s="40">
        <v>50</v>
      </c>
      <c r="E91" s="11">
        <v>162</v>
      </c>
      <c r="F91" s="36">
        <v>20</v>
      </c>
      <c r="G91" s="36">
        <v>12</v>
      </c>
      <c r="H91" s="36">
        <v>35</v>
      </c>
      <c r="I91" s="13">
        <f t="shared" si="5"/>
        <v>229</v>
      </c>
      <c r="J91" s="12"/>
      <c r="K91" s="14">
        <f t="shared" si="4"/>
        <v>229</v>
      </c>
      <c r="L91">
        <v>299</v>
      </c>
      <c r="M91" s="34">
        <f t="shared" si="6"/>
        <v>70</v>
      </c>
      <c r="N91" s="43">
        <f t="shared" si="7"/>
        <v>11450</v>
      </c>
    </row>
    <row r="92" spans="1:14" ht="15.75" x14ac:dyDescent="0.25">
      <c r="A92">
        <v>522499</v>
      </c>
      <c r="B92" s="9">
        <v>625</v>
      </c>
      <c r="C92" s="10" t="s">
        <v>73</v>
      </c>
      <c r="D92" s="40">
        <v>50</v>
      </c>
      <c r="E92" s="11"/>
      <c r="F92" s="36">
        <v>0</v>
      </c>
      <c r="G92" s="36">
        <v>0</v>
      </c>
      <c r="H92" s="36">
        <v>0</v>
      </c>
      <c r="I92" s="13">
        <f t="shared" si="5"/>
        <v>0</v>
      </c>
      <c r="J92" s="12"/>
      <c r="K92" s="14">
        <f t="shared" si="4"/>
        <v>0</v>
      </c>
      <c r="M92" s="34">
        <f t="shared" si="6"/>
        <v>0</v>
      </c>
      <c r="N92" s="43">
        <f t="shared" si="7"/>
        <v>0</v>
      </c>
    </row>
    <row r="93" spans="1:14" ht="15.75" x14ac:dyDescent="0.25">
      <c r="A93">
        <v>522497</v>
      </c>
      <c r="B93" s="9">
        <v>625</v>
      </c>
      <c r="C93" s="10" t="s">
        <v>70</v>
      </c>
      <c r="D93" s="40">
        <v>50</v>
      </c>
      <c r="E93" s="11">
        <v>120</v>
      </c>
      <c r="F93" s="36">
        <v>5</v>
      </c>
      <c r="G93" s="36">
        <v>0</v>
      </c>
      <c r="H93" s="36">
        <v>15</v>
      </c>
      <c r="I93" s="13">
        <f t="shared" si="5"/>
        <v>140</v>
      </c>
      <c r="J93" s="12"/>
      <c r="K93" s="14">
        <f t="shared" si="4"/>
        <v>140</v>
      </c>
      <c r="L93">
        <v>140</v>
      </c>
      <c r="M93" s="34">
        <f t="shared" si="6"/>
        <v>0</v>
      </c>
      <c r="N93" s="43">
        <f t="shared" si="7"/>
        <v>7000</v>
      </c>
    </row>
    <row r="94" spans="1:14" ht="15.75" x14ac:dyDescent="0.25">
      <c r="A94">
        <v>522496</v>
      </c>
      <c r="B94" s="9">
        <v>625</v>
      </c>
      <c r="C94" s="10" t="s">
        <v>71</v>
      </c>
      <c r="D94" s="40">
        <v>50</v>
      </c>
      <c r="E94" s="11"/>
      <c r="F94" s="36">
        <v>6</v>
      </c>
      <c r="G94" s="36">
        <v>8</v>
      </c>
      <c r="H94" s="36">
        <v>0</v>
      </c>
      <c r="I94" s="13">
        <f t="shared" si="5"/>
        <v>14</v>
      </c>
      <c r="J94" s="12"/>
      <c r="K94" s="14">
        <f t="shared" si="4"/>
        <v>14</v>
      </c>
      <c r="L94">
        <v>14</v>
      </c>
      <c r="M94" s="34">
        <f t="shared" si="6"/>
        <v>0</v>
      </c>
      <c r="N94" s="43">
        <f t="shared" si="7"/>
        <v>700</v>
      </c>
    </row>
    <row r="95" spans="1:14" ht="15.75" x14ac:dyDescent="0.25">
      <c r="A95">
        <v>522498</v>
      </c>
      <c r="B95" s="9">
        <v>625</v>
      </c>
      <c r="C95" s="10" t="s">
        <v>74</v>
      </c>
      <c r="D95" s="40">
        <v>50</v>
      </c>
      <c r="E95" s="11"/>
      <c r="F95" s="36">
        <v>0</v>
      </c>
      <c r="G95" s="36">
        <v>0</v>
      </c>
      <c r="H95" s="36">
        <v>0</v>
      </c>
      <c r="I95" s="13">
        <f t="shared" si="5"/>
        <v>0</v>
      </c>
      <c r="J95" s="12"/>
      <c r="K95" s="14">
        <f t="shared" si="4"/>
        <v>0</v>
      </c>
      <c r="M95" s="34">
        <f t="shared" si="6"/>
        <v>0</v>
      </c>
      <c r="N95" s="43">
        <f t="shared" si="7"/>
        <v>0</v>
      </c>
    </row>
    <row r="96" spans="1:14" ht="15.75" x14ac:dyDescent="0.25">
      <c r="A96">
        <v>517507</v>
      </c>
      <c r="B96" s="18">
        <v>500</v>
      </c>
      <c r="C96" s="17" t="s">
        <v>75</v>
      </c>
      <c r="D96" s="40">
        <v>35</v>
      </c>
      <c r="E96" s="11">
        <v>22</v>
      </c>
      <c r="F96" s="36">
        <v>7</v>
      </c>
      <c r="G96" s="36">
        <v>1</v>
      </c>
      <c r="H96" s="36">
        <v>5</v>
      </c>
      <c r="I96" s="13">
        <f t="shared" si="5"/>
        <v>35</v>
      </c>
      <c r="J96" s="12"/>
      <c r="K96" s="14">
        <f t="shared" si="4"/>
        <v>35</v>
      </c>
      <c r="L96">
        <v>35</v>
      </c>
      <c r="M96" s="34">
        <f t="shared" si="6"/>
        <v>0</v>
      </c>
      <c r="N96" s="43">
        <f t="shared" si="7"/>
        <v>1225</v>
      </c>
    </row>
    <row r="97" spans="1:14" ht="15.75" x14ac:dyDescent="0.25">
      <c r="A97">
        <v>517499</v>
      </c>
      <c r="B97" s="18">
        <v>360</v>
      </c>
      <c r="C97" s="17" t="s">
        <v>75</v>
      </c>
      <c r="D97" s="40">
        <v>25</v>
      </c>
      <c r="E97" s="11"/>
      <c r="F97" s="36">
        <v>0</v>
      </c>
      <c r="G97" s="36">
        <v>0</v>
      </c>
      <c r="H97" s="36">
        <v>0</v>
      </c>
      <c r="I97" s="13">
        <f t="shared" si="5"/>
        <v>0</v>
      </c>
      <c r="J97" s="12"/>
      <c r="K97" s="14">
        <f t="shared" si="4"/>
        <v>0</v>
      </c>
      <c r="M97" s="34">
        <f t="shared" si="6"/>
        <v>0</v>
      </c>
      <c r="N97" s="43">
        <f t="shared" si="7"/>
        <v>0</v>
      </c>
    </row>
    <row r="98" spans="1:14" ht="15.75" x14ac:dyDescent="0.25">
      <c r="B98" s="9">
        <v>625</v>
      </c>
      <c r="C98" s="10" t="s">
        <v>76</v>
      </c>
      <c r="D98" s="40">
        <v>44.5</v>
      </c>
      <c r="E98" s="11"/>
      <c r="F98" s="36">
        <v>0</v>
      </c>
      <c r="G98" s="36">
        <v>0</v>
      </c>
      <c r="H98" s="36">
        <v>0</v>
      </c>
      <c r="I98" s="13">
        <f t="shared" si="5"/>
        <v>0</v>
      </c>
      <c r="J98" s="12"/>
      <c r="K98" s="14">
        <f t="shared" si="4"/>
        <v>0</v>
      </c>
      <c r="M98" s="34">
        <f t="shared" si="6"/>
        <v>0</v>
      </c>
      <c r="N98" s="43">
        <f t="shared" si="7"/>
        <v>0</v>
      </c>
    </row>
    <row r="99" spans="1:14" ht="15.75" x14ac:dyDescent="0.25">
      <c r="B99" s="9">
        <v>3030</v>
      </c>
      <c r="C99" s="10" t="s">
        <v>76</v>
      </c>
      <c r="D99" s="40">
        <v>56</v>
      </c>
      <c r="E99" s="11"/>
      <c r="F99" s="36">
        <v>0</v>
      </c>
      <c r="G99" s="36">
        <v>0</v>
      </c>
      <c r="H99" s="36">
        <v>0</v>
      </c>
      <c r="I99" s="13">
        <f t="shared" si="5"/>
        <v>0</v>
      </c>
      <c r="J99" s="12"/>
      <c r="K99" s="14">
        <f t="shared" si="4"/>
        <v>0</v>
      </c>
      <c r="M99" s="34">
        <f t="shared" si="6"/>
        <v>0</v>
      </c>
      <c r="N99" s="43">
        <f t="shared" si="7"/>
        <v>0</v>
      </c>
    </row>
    <row r="100" spans="1:14" ht="15.75" x14ac:dyDescent="0.25">
      <c r="B100" s="9">
        <v>355</v>
      </c>
      <c r="C100" s="10" t="s">
        <v>18</v>
      </c>
      <c r="D100" s="40">
        <v>44.5</v>
      </c>
      <c r="E100" s="11"/>
      <c r="F100" s="36">
        <v>0</v>
      </c>
      <c r="G100" s="36">
        <v>0</v>
      </c>
      <c r="H100" s="36">
        <v>0</v>
      </c>
      <c r="I100" s="13">
        <f t="shared" si="5"/>
        <v>0</v>
      </c>
      <c r="J100" s="12"/>
      <c r="K100" s="14">
        <f t="shared" si="4"/>
        <v>0</v>
      </c>
      <c r="M100" s="34">
        <f t="shared" si="6"/>
        <v>0</v>
      </c>
      <c r="N100" s="43">
        <f t="shared" si="7"/>
        <v>0</v>
      </c>
    </row>
    <row r="101" spans="1:14" ht="15.75" x14ac:dyDescent="0.25">
      <c r="B101" s="9">
        <v>911</v>
      </c>
      <c r="C101" s="10" t="s">
        <v>77</v>
      </c>
      <c r="D101" s="40">
        <v>22.5</v>
      </c>
      <c r="E101" s="11"/>
      <c r="F101" s="36">
        <v>0</v>
      </c>
      <c r="G101" s="36">
        <v>0</v>
      </c>
      <c r="H101" s="36">
        <v>0</v>
      </c>
      <c r="I101" s="13">
        <f t="shared" si="5"/>
        <v>0</v>
      </c>
      <c r="J101" s="12"/>
      <c r="K101" s="14">
        <f t="shared" si="4"/>
        <v>0</v>
      </c>
      <c r="M101" s="34">
        <f t="shared" si="6"/>
        <v>0</v>
      </c>
      <c r="N101" s="43">
        <f t="shared" si="7"/>
        <v>0</v>
      </c>
    </row>
    <row r="102" spans="1:14" ht="15.75" x14ac:dyDescent="0.25">
      <c r="A102">
        <v>500386</v>
      </c>
      <c r="B102" s="9">
        <v>355</v>
      </c>
      <c r="C102" s="10" t="s">
        <v>21</v>
      </c>
      <c r="D102" s="40">
        <v>15</v>
      </c>
      <c r="E102" s="11"/>
      <c r="F102" s="36">
        <v>0</v>
      </c>
      <c r="G102" s="36">
        <v>0</v>
      </c>
      <c r="H102" s="36">
        <v>0</v>
      </c>
      <c r="I102" s="13">
        <f t="shared" si="5"/>
        <v>0</v>
      </c>
      <c r="J102" s="12"/>
      <c r="K102" s="14">
        <f t="shared" si="4"/>
        <v>0</v>
      </c>
      <c r="M102" s="34">
        <f t="shared" si="6"/>
        <v>0</v>
      </c>
      <c r="N102" s="43">
        <f t="shared" si="7"/>
        <v>0</v>
      </c>
    </row>
    <row r="103" spans="1:14" ht="15.75" x14ac:dyDescent="0.25">
      <c r="A103">
        <v>598944</v>
      </c>
      <c r="B103" s="20">
        <v>355</v>
      </c>
      <c r="C103" s="21" t="s">
        <v>14</v>
      </c>
      <c r="D103" s="40">
        <v>15</v>
      </c>
      <c r="E103" s="11"/>
      <c r="F103" s="36">
        <v>0</v>
      </c>
      <c r="G103" s="36">
        <v>0</v>
      </c>
      <c r="H103" s="36">
        <v>0</v>
      </c>
      <c r="I103" s="13">
        <f t="shared" si="5"/>
        <v>0</v>
      </c>
      <c r="J103" s="12"/>
      <c r="K103" s="14">
        <f t="shared" si="4"/>
        <v>0</v>
      </c>
      <c r="M103" s="34">
        <f t="shared" si="6"/>
        <v>0</v>
      </c>
      <c r="N103" s="43">
        <f t="shared" si="7"/>
        <v>0</v>
      </c>
    </row>
    <row r="104" spans="1:14" ht="15.75" x14ac:dyDescent="0.25">
      <c r="B104" s="20">
        <v>355</v>
      </c>
      <c r="C104" s="21" t="s">
        <v>16</v>
      </c>
      <c r="D104" s="40">
        <v>15</v>
      </c>
      <c r="E104" s="11"/>
      <c r="F104" s="36">
        <v>0</v>
      </c>
      <c r="G104" s="36">
        <v>0</v>
      </c>
      <c r="H104" s="36">
        <v>0</v>
      </c>
      <c r="I104" s="13">
        <f t="shared" si="5"/>
        <v>0</v>
      </c>
      <c r="J104" s="12"/>
      <c r="K104" s="14">
        <f t="shared" si="4"/>
        <v>0</v>
      </c>
      <c r="M104" s="34">
        <f t="shared" si="6"/>
        <v>0</v>
      </c>
      <c r="N104" s="43">
        <f t="shared" si="7"/>
        <v>0</v>
      </c>
    </row>
    <row r="105" spans="1:14" ht="15.75" x14ac:dyDescent="0.25">
      <c r="A105">
        <v>598947</v>
      </c>
      <c r="B105" s="20">
        <v>355</v>
      </c>
      <c r="C105" s="21" t="s">
        <v>15</v>
      </c>
      <c r="D105" s="40">
        <v>15</v>
      </c>
      <c r="E105" s="11"/>
      <c r="F105" s="36">
        <v>0</v>
      </c>
      <c r="G105" s="36">
        <v>0</v>
      </c>
      <c r="H105" s="36">
        <v>0</v>
      </c>
      <c r="I105" s="13">
        <f t="shared" si="5"/>
        <v>0</v>
      </c>
      <c r="J105" s="12"/>
      <c r="K105" s="14">
        <v>0</v>
      </c>
      <c r="M105" s="34">
        <f t="shared" si="6"/>
        <v>0</v>
      </c>
      <c r="N105" s="43">
        <f t="shared" si="7"/>
        <v>0</v>
      </c>
    </row>
    <row r="106" spans="1:14" ht="15.75" x14ac:dyDescent="0.25">
      <c r="A106">
        <v>598943</v>
      </c>
      <c r="B106" s="20">
        <v>355</v>
      </c>
      <c r="C106" s="21" t="s">
        <v>17</v>
      </c>
      <c r="D106" s="40">
        <v>15</v>
      </c>
      <c r="E106" s="11"/>
      <c r="F106" s="36">
        <v>0</v>
      </c>
      <c r="G106" s="36">
        <v>0</v>
      </c>
      <c r="H106" s="36">
        <v>0</v>
      </c>
      <c r="I106" s="13">
        <f t="shared" si="5"/>
        <v>0</v>
      </c>
      <c r="J106" s="12"/>
      <c r="K106" s="14">
        <f t="shared" si="4"/>
        <v>0</v>
      </c>
      <c r="M106" s="34">
        <f t="shared" si="6"/>
        <v>0</v>
      </c>
      <c r="N106" s="43">
        <f t="shared" si="7"/>
        <v>0</v>
      </c>
    </row>
    <row r="107" spans="1:14" ht="15.75" x14ac:dyDescent="0.25">
      <c r="B107" s="20">
        <v>355</v>
      </c>
      <c r="C107" s="21" t="s">
        <v>78</v>
      </c>
      <c r="D107" s="40">
        <v>15</v>
      </c>
      <c r="E107" s="11"/>
      <c r="F107" s="36">
        <v>0</v>
      </c>
      <c r="G107" s="36">
        <v>0</v>
      </c>
      <c r="H107" s="36">
        <v>0</v>
      </c>
      <c r="I107" s="13">
        <f t="shared" si="5"/>
        <v>0</v>
      </c>
      <c r="J107" s="12"/>
      <c r="K107" s="14">
        <f t="shared" si="4"/>
        <v>0</v>
      </c>
      <c r="M107" s="34">
        <f t="shared" si="6"/>
        <v>0</v>
      </c>
      <c r="N107" s="43">
        <f t="shared" si="7"/>
        <v>0</v>
      </c>
    </row>
    <row r="108" spans="1:14" ht="15.75" x14ac:dyDescent="0.25">
      <c r="B108" s="20">
        <v>355</v>
      </c>
      <c r="C108" s="21" t="s">
        <v>79</v>
      </c>
      <c r="D108" s="40">
        <v>15</v>
      </c>
      <c r="E108" s="11"/>
      <c r="F108" s="36">
        <v>0</v>
      </c>
      <c r="G108" s="36">
        <v>0</v>
      </c>
      <c r="H108" s="36">
        <v>0</v>
      </c>
      <c r="I108" s="13">
        <f t="shared" si="5"/>
        <v>0</v>
      </c>
      <c r="J108" s="12"/>
      <c r="K108" s="14">
        <f t="shared" si="4"/>
        <v>0</v>
      </c>
      <c r="M108" s="34">
        <f t="shared" si="6"/>
        <v>0</v>
      </c>
      <c r="N108" s="43">
        <f t="shared" si="7"/>
        <v>0</v>
      </c>
    </row>
    <row r="109" spans="1:14" ht="15.75" x14ac:dyDescent="0.25">
      <c r="B109" s="20">
        <v>355</v>
      </c>
      <c r="C109" s="21" t="s">
        <v>80</v>
      </c>
      <c r="D109" s="40">
        <v>15</v>
      </c>
      <c r="E109" s="11"/>
      <c r="F109" s="36">
        <v>0</v>
      </c>
      <c r="G109" s="36">
        <v>0</v>
      </c>
      <c r="H109" s="36">
        <v>0</v>
      </c>
      <c r="I109" s="13">
        <f t="shared" si="5"/>
        <v>0</v>
      </c>
      <c r="J109" s="12"/>
      <c r="K109" s="14">
        <f t="shared" si="4"/>
        <v>0</v>
      </c>
      <c r="M109" s="34">
        <f t="shared" si="6"/>
        <v>0</v>
      </c>
      <c r="N109" s="43">
        <f t="shared" si="7"/>
        <v>0</v>
      </c>
    </row>
    <row r="110" spans="1:14" ht="15.75" x14ac:dyDescent="0.25">
      <c r="B110" s="20">
        <v>145</v>
      </c>
      <c r="C110" s="21" t="s">
        <v>70</v>
      </c>
      <c r="D110" s="40">
        <v>10</v>
      </c>
      <c r="E110" s="11"/>
      <c r="F110" s="36">
        <v>0</v>
      </c>
      <c r="G110" s="36">
        <v>0</v>
      </c>
      <c r="H110" s="36">
        <v>0</v>
      </c>
      <c r="I110" s="13">
        <f t="shared" si="5"/>
        <v>0</v>
      </c>
      <c r="J110" s="12"/>
      <c r="K110" s="14">
        <f t="shared" si="4"/>
        <v>0</v>
      </c>
      <c r="M110" s="34">
        <f t="shared" si="6"/>
        <v>0</v>
      </c>
      <c r="N110" s="43">
        <f t="shared" si="7"/>
        <v>0</v>
      </c>
    </row>
    <row r="111" spans="1:14" ht="15.75" x14ac:dyDescent="0.25">
      <c r="B111" s="20">
        <v>145</v>
      </c>
      <c r="C111" s="21" t="s">
        <v>68</v>
      </c>
      <c r="D111" s="40">
        <v>10</v>
      </c>
      <c r="E111" s="11"/>
      <c r="F111" s="36">
        <v>0</v>
      </c>
      <c r="G111" s="36">
        <v>0</v>
      </c>
      <c r="H111" s="36">
        <v>0</v>
      </c>
      <c r="I111" s="13">
        <f t="shared" si="5"/>
        <v>0</v>
      </c>
      <c r="J111" s="12"/>
      <c r="K111" s="14">
        <f t="shared" si="4"/>
        <v>0</v>
      </c>
      <c r="M111" s="34">
        <f t="shared" si="6"/>
        <v>0</v>
      </c>
      <c r="N111" s="43">
        <f t="shared" si="7"/>
        <v>0</v>
      </c>
    </row>
    <row r="112" spans="1:14" ht="15.75" x14ac:dyDescent="0.25">
      <c r="B112" s="20">
        <v>145</v>
      </c>
      <c r="C112" s="21" t="s">
        <v>73</v>
      </c>
      <c r="D112" s="40">
        <v>10</v>
      </c>
      <c r="E112" s="11"/>
      <c r="F112" s="36">
        <v>0</v>
      </c>
      <c r="G112" s="36">
        <v>0</v>
      </c>
      <c r="H112" s="36">
        <v>0</v>
      </c>
      <c r="I112" s="13">
        <f t="shared" si="5"/>
        <v>0</v>
      </c>
      <c r="J112" s="12"/>
      <c r="K112" s="14">
        <f t="shared" si="4"/>
        <v>0</v>
      </c>
      <c r="M112" s="34">
        <f t="shared" si="6"/>
        <v>0</v>
      </c>
      <c r="N112" s="43">
        <f t="shared" si="7"/>
        <v>0</v>
      </c>
    </row>
    <row r="113" spans="1:14" ht="15.75" x14ac:dyDescent="0.25">
      <c r="B113" s="20"/>
      <c r="C113" s="21" t="s">
        <v>66</v>
      </c>
      <c r="D113" s="40">
        <v>10</v>
      </c>
      <c r="E113" s="11"/>
      <c r="F113" s="36">
        <v>0</v>
      </c>
      <c r="G113" s="36">
        <v>0</v>
      </c>
      <c r="H113" s="36">
        <v>0</v>
      </c>
      <c r="I113" s="13">
        <f t="shared" si="5"/>
        <v>0</v>
      </c>
      <c r="J113" s="12"/>
      <c r="K113" s="14">
        <f t="shared" si="4"/>
        <v>0</v>
      </c>
      <c r="M113" s="34">
        <f t="shared" si="6"/>
        <v>0</v>
      </c>
      <c r="N113" s="43">
        <f t="shared" si="7"/>
        <v>0</v>
      </c>
    </row>
    <row r="114" spans="1:14" ht="15.75" x14ac:dyDescent="0.25">
      <c r="B114" s="20"/>
      <c r="C114" s="21" t="s">
        <v>81</v>
      </c>
      <c r="D114" s="40">
        <v>10</v>
      </c>
      <c r="E114" s="11"/>
      <c r="F114" s="36">
        <v>0</v>
      </c>
      <c r="G114" s="36">
        <v>0</v>
      </c>
      <c r="H114" s="36">
        <v>0</v>
      </c>
      <c r="I114" s="13">
        <f t="shared" si="5"/>
        <v>0</v>
      </c>
      <c r="J114" s="12"/>
      <c r="K114" s="14">
        <f t="shared" si="4"/>
        <v>0</v>
      </c>
      <c r="M114" s="34">
        <f t="shared" si="6"/>
        <v>0</v>
      </c>
      <c r="N114" s="43">
        <f t="shared" si="7"/>
        <v>0</v>
      </c>
    </row>
    <row r="115" spans="1:14" ht="15.75" x14ac:dyDescent="0.25">
      <c r="B115" s="20"/>
      <c r="C115" s="21" t="s">
        <v>74</v>
      </c>
      <c r="D115" s="40">
        <v>10</v>
      </c>
      <c r="E115" s="11"/>
      <c r="F115" s="36">
        <v>0</v>
      </c>
      <c r="G115" s="36">
        <v>0</v>
      </c>
      <c r="H115" s="36">
        <v>0</v>
      </c>
      <c r="I115" s="13">
        <f t="shared" si="5"/>
        <v>0</v>
      </c>
      <c r="J115" s="12"/>
      <c r="K115" s="14">
        <f t="shared" si="4"/>
        <v>0</v>
      </c>
      <c r="M115" s="34">
        <f t="shared" si="6"/>
        <v>0</v>
      </c>
      <c r="N115" s="43">
        <f t="shared" si="7"/>
        <v>0</v>
      </c>
    </row>
    <row r="116" spans="1:14" ht="15.75" x14ac:dyDescent="0.25">
      <c r="B116" s="20"/>
      <c r="C116" s="21" t="s">
        <v>82</v>
      </c>
      <c r="D116" s="40">
        <v>10</v>
      </c>
      <c r="E116" s="11"/>
      <c r="F116" s="36">
        <v>0</v>
      </c>
      <c r="G116" s="36">
        <v>0</v>
      </c>
      <c r="H116" s="36">
        <v>0</v>
      </c>
      <c r="I116" s="13">
        <f t="shared" si="5"/>
        <v>0</v>
      </c>
      <c r="J116" s="12"/>
      <c r="K116" s="14">
        <f t="shared" si="4"/>
        <v>0</v>
      </c>
      <c r="M116" s="34">
        <f t="shared" si="6"/>
        <v>0</v>
      </c>
      <c r="N116" s="43">
        <f t="shared" si="7"/>
        <v>0</v>
      </c>
    </row>
    <row r="117" spans="1:14" ht="15.75" x14ac:dyDescent="0.25">
      <c r="B117" s="20">
        <v>250</v>
      </c>
      <c r="C117" s="21" t="s">
        <v>12</v>
      </c>
      <c r="D117" s="40">
        <v>41</v>
      </c>
      <c r="E117" s="11"/>
      <c r="F117" s="36">
        <v>0</v>
      </c>
      <c r="G117" s="36">
        <v>0</v>
      </c>
      <c r="H117" s="36">
        <v>0</v>
      </c>
      <c r="I117" s="13">
        <f t="shared" si="5"/>
        <v>0</v>
      </c>
      <c r="J117" s="12"/>
      <c r="K117" s="14">
        <f t="shared" si="4"/>
        <v>0</v>
      </c>
      <c r="M117" s="34">
        <f t="shared" si="6"/>
        <v>0</v>
      </c>
      <c r="N117" s="43">
        <f t="shared" si="7"/>
        <v>0</v>
      </c>
    </row>
    <row r="118" spans="1:14" ht="15.75" x14ac:dyDescent="0.25">
      <c r="B118" s="20">
        <v>250</v>
      </c>
      <c r="C118" s="21" t="s">
        <v>83</v>
      </c>
      <c r="D118" s="40">
        <v>25</v>
      </c>
      <c r="E118" s="11"/>
      <c r="F118" s="36">
        <v>0</v>
      </c>
      <c r="G118" s="36">
        <v>0</v>
      </c>
      <c r="H118" s="36">
        <v>0</v>
      </c>
      <c r="I118" s="13">
        <f t="shared" si="5"/>
        <v>0</v>
      </c>
      <c r="J118" s="12"/>
      <c r="K118" s="14">
        <f t="shared" si="4"/>
        <v>0</v>
      </c>
      <c r="M118" s="34">
        <f t="shared" si="6"/>
        <v>0</v>
      </c>
      <c r="N118" s="43">
        <f t="shared" si="7"/>
        <v>0</v>
      </c>
    </row>
    <row r="119" spans="1:14" ht="15.75" x14ac:dyDescent="0.25">
      <c r="B119" s="20">
        <v>1000</v>
      </c>
      <c r="C119" s="21" t="s">
        <v>83</v>
      </c>
      <c r="D119" s="40">
        <v>30</v>
      </c>
      <c r="E119" s="11"/>
      <c r="F119" s="36">
        <v>0</v>
      </c>
      <c r="G119" s="36">
        <v>0</v>
      </c>
      <c r="H119" s="36">
        <v>0</v>
      </c>
      <c r="I119" s="13">
        <f t="shared" si="5"/>
        <v>0</v>
      </c>
      <c r="J119" s="12"/>
      <c r="K119" s="14">
        <f t="shared" si="4"/>
        <v>0</v>
      </c>
      <c r="M119" s="34">
        <f t="shared" si="6"/>
        <v>0</v>
      </c>
      <c r="N119" s="43">
        <f t="shared" si="7"/>
        <v>0</v>
      </c>
    </row>
    <row r="120" spans="1:14" ht="15.75" x14ac:dyDescent="0.25">
      <c r="B120" s="20">
        <v>250</v>
      </c>
      <c r="C120" s="21" t="s">
        <v>84</v>
      </c>
      <c r="D120" s="40">
        <v>25</v>
      </c>
      <c r="E120" s="11"/>
      <c r="F120" s="36">
        <v>0</v>
      </c>
      <c r="G120" s="36">
        <v>0</v>
      </c>
      <c r="H120" s="36">
        <v>0</v>
      </c>
      <c r="I120" s="13">
        <f t="shared" si="5"/>
        <v>0</v>
      </c>
      <c r="J120" s="12"/>
      <c r="K120" s="14">
        <f t="shared" si="4"/>
        <v>0</v>
      </c>
      <c r="M120" s="34">
        <f t="shared" si="6"/>
        <v>0</v>
      </c>
      <c r="N120" s="43">
        <f t="shared" si="7"/>
        <v>0</v>
      </c>
    </row>
    <row r="121" spans="1:14" ht="15.75" x14ac:dyDescent="0.25">
      <c r="A121">
        <v>522665</v>
      </c>
      <c r="B121" s="22">
        <v>1.5</v>
      </c>
      <c r="C121" s="23" t="s">
        <v>85</v>
      </c>
      <c r="D121" s="40">
        <v>50</v>
      </c>
      <c r="E121" s="11">
        <v>1</v>
      </c>
      <c r="F121" s="36">
        <v>0</v>
      </c>
      <c r="G121" s="36">
        <v>3</v>
      </c>
      <c r="H121" s="36">
        <v>7</v>
      </c>
      <c r="I121" s="13">
        <f t="shared" si="5"/>
        <v>11</v>
      </c>
      <c r="J121" s="12"/>
      <c r="K121" s="14">
        <f t="shared" si="4"/>
        <v>11</v>
      </c>
      <c r="L121">
        <v>11</v>
      </c>
      <c r="M121" s="34">
        <f t="shared" si="6"/>
        <v>0</v>
      </c>
      <c r="N121" s="43">
        <f t="shared" si="7"/>
        <v>550</v>
      </c>
    </row>
    <row r="122" spans="1:14" ht="15.75" x14ac:dyDescent="0.25">
      <c r="A122">
        <v>522664</v>
      </c>
      <c r="B122" s="20">
        <v>1.5</v>
      </c>
      <c r="C122" s="21" t="s">
        <v>86</v>
      </c>
      <c r="D122" s="40">
        <v>50</v>
      </c>
      <c r="E122" s="11">
        <v>6</v>
      </c>
      <c r="F122" s="36">
        <v>4</v>
      </c>
      <c r="G122" s="36">
        <v>4</v>
      </c>
      <c r="H122" s="36">
        <v>5</v>
      </c>
      <c r="I122" s="13">
        <f t="shared" si="5"/>
        <v>19</v>
      </c>
      <c r="J122" s="12"/>
      <c r="K122" s="14">
        <f t="shared" si="4"/>
        <v>19</v>
      </c>
      <c r="L122">
        <v>19</v>
      </c>
      <c r="M122" s="34">
        <f t="shared" si="6"/>
        <v>0</v>
      </c>
      <c r="N122" s="43">
        <f t="shared" si="7"/>
        <v>950</v>
      </c>
    </row>
    <row r="123" spans="1:14" ht="15.75" x14ac:dyDescent="0.25">
      <c r="B123" s="24">
        <v>250</v>
      </c>
      <c r="C123" s="21" t="s">
        <v>13</v>
      </c>
      <c r="D123" s="40">
        <v>41</v>
      </c>
      <c r="E123" s="11"/>
      <c r="F123" s="36">
        <v>0</v>
      </c>
      <c r="G123" s="36">
        <v>0</v>
      </c>
      <c r="H123" s="36">
        <v>0</v>
      </c>
      <c r="I123" s="13">
        <f t="shared" si="5"/>
        <v>0</v>
      </c>
      <c r="J123" s="12"/>
      <c r="K123" s="14">
        <f t="shared" ref="K123:K184" si="8">I123-J123</f>
        <v>0</v>
      </c>
      <c r="M123" s="34">
        <f t="shared" si="6"/>
        <v>0</v>
      </c>
      <c r="N123" s="43">
        <f t="shared" si="7"/>
        <v>0</v>
      </c>
    </row>
    <row r="124" spans="1:14" ht="15.75" x14ac:dyDescent="0.25">
      <c r="B124" s="20">
        <v>360</v>
      </c>
      <c r="C124" s="21" t="s">
        <v>87</v>
      </c>
      <c r="D124" s="40">
        <v>25</v>
      </c>
      <c r="E124" s="11"/>
      <c r="F124" s="36">
        <v>0</v>
      </c>
      <c r="G124" s="36">
        <v>0</v>
      </c>
      <c r="H124" s="36">
        <v>0</v>
      </c>
      <c r="I124" s="13">
        <f t="shared" si="5"/>
        <v>0</v>
      </c>
      <c r="J124" s="12"/>
      <c r="K124" s="14">
        <f t="shared" si="8"/>
        <v>0</v>
      </c>
      <c r="M124" s="34">
        <f t="shared" si="6"/>
        <v>0</v>
      </c>
      <c r="N124" s="43">
        <f t="shared" si="7"/>
        <v>0</v>
      </c>
    </row>
    <row r="125" spans="1:14" ht="15.75" x14ac:dyDescent="0.25">
      <c r="B125" s="20">
        <v>1000</v>
      </c>
      <c r="C125" s="21" t="s">
        <v>75</v>
      </c>
      <c r="D125" s="40">
        <v>75</v>
      </c>
      <c r="E125" s="11"/>
      <c r="F125" s="36">
        <v>0</v>
      </c>
      <c r="G125" s="36">
        <v>0</v>
      </c>
      <c r="H125" s="36">
        <v>0</v>
      </c>
      <c r="I125" s="13">
        <f t="shared" si="5"/>
        <v>0</v>
      </c>
      <c r="J125" s="12"/>
      <c r="K125" s="14">
        <f t="shared" si="8"/>
        <v>0</v>
      </c>
      <c r="M125" s="34">
        <f t="shared" si="6"/>
        <v>0</v>
      </c>
      <c r="N125" s="43">
        <f t="shared" si="7"/>
        <v>0</v>
      </c>
    </row>
    <row r="126" spans="1:14" ht="15.75" x14ac:dyDescent="0.25">
      <c r="B126" s="20">
        <v>355</v>
      </c>
      <c r="C126" s="21" t="s">
        <v>88</v>
      </c>
      <c r="D126" s="40">
        <v>15</v>
      </c>
      <c r="E126" s="11"/>
      <c r="F126" s="36">
        <v>0</v>
      </c>
      <c r="G126" s="36">
        <v>0</v>
      </c>
      <c r="H126" s="36">
        <v>0</v>
      </c>
      <c r="I126" s="13">
        <f t="shared" si="5"/>
        <v>0</v>
      </c>
      <c r="J126" s="12"/>
      <c r="K126" s="14">
        <f t="shared" si="8"/>
        <v>0</v>
      </c>
      <c r="M126" s="34">
        <f t="shared" si="6"/>
        <v>0</v>
      </c>
      <c r="N126" s="43">
        <f t="shared" si="7"/>
        <v>0</v>
      </c>
    </row>
    <row r="127" spans="1:14" ht="15.75" x14ac:dyDescent="0.25">
      <c r="B127" s="20">
        <v>330</v>
      </c>
      <c r="C127" s="21" t="s">
        <v>89</v>
      </c>
      <c r="D127" s="40">
        <v>20</v>
      </c>
      <c r="E127" s="11"/>
      <c r="F127" s="36">
        <v>0</v>
      </c>
      <c r="G127" s="36">
        <v>0</v>
      </c>
      <c r="H127" s="36">
        <v>0</v>
      </c>
      <c r="I127" s="13">
        <f t="shared" si="5"/>
        <v>0</v>
      </c>
      <c r="J127" s="12"/>
      <c r="K127" s="14">
        <f t="shared" si="8"/>
        <v>0</v>
      </c>
      <c r="M127" s="34">
        <f t="shared" si="6"/>
        <v>0</v>
      </c>
      <c r="N127" s="43">
        <f t="shared" si="7"/>
        <v>0</v>
      </c>
    </row>
    <row r="128" spans="1:14" ht="15.75" x14ac:dyDescent="0.25">
      <c r="B128" s="20">
        <v>330</v>
      </c>
      <c r="C128" s="21" t="s">
        <v>90</v>
      </c>
      <c r="D128" s="40">
        <v>20</v>
      </c>
      <c r="E128" s="11"/>
      <c r="F128" s="36">
        <v>0</v>
      </c>
      <c r="G128" s="36">
        <v>0</v>
      </c>
      <c r="H128" s="36">
        <v>0</v>
      </c>
      <c r="I128" s="13">
        <f t="shared" si="5"/>
        <v>0</v>
      </c>
      <c r="J128" s="12"/>
      <c r="K128" s="14">
        <f t="shared" si="8"/>
        <v>0</v>
      </c>
      <c r="M128" s="34">
        <f t="shared" si="6"/>
        <v>0</v>
      </c>
      <c r="N128" s="43">
        <f t="shared" si="7"/>
        <v>0</v>
      </c>
    </row>
    <row r="129" spans="1:14" ht="15.75" x14ac:dyDescent="0.25">
      <c r="B129" s="20">
        <v>330</v>
      </c>
      <c r="C129" s="21" t="s">
        <v>91</v>
      </c>
      <c r="D129" s="40">
        <v>20</v>
      </c>
      <c r="E129" s="11"/>
      <c r="F129" s="36">
        <v>0</v>
      </c>
      <c r="G129" s="36">
        <v>0</v>
      </c>
      <c r="H129" s="36">
        <v>0</v>
      </c>
      <c r="I129" s="13">
        <f t="shared" si="5"/>
        <v>0</v>
      </c>
      <c r="J129" s="12"/>
      <c r="K129" s="14">
        <f t="shared" si="8"/>
        <v>0</v>
      </c>
      <c r="M129" s="34">
        <f t="shared" si="6"/>
        <v>0</v>
      </c>
      <c r="N129" s="43">
        <f t="shared" si="7"/>
        <v>0</v>
      </c>
    </row>
    <row r="130" spans="1:14" ht="15.75" x14ac:dyDescent="0.25">
      <c r="B130" s="20">
        <v>330</v>
      </c>
      <c r="C130" s="21" t="s">
        <v>92</v>
      </c>
      <c r="D130" s="40">
        <v>20</v>
      </c>
      <c r="E130" s="11"/>
      <c r="F130" s="36">
        <v>0</v>
      </c>
      <c r="G130" s="36">
        <v>0</v>
      </c>
      <c r="H130" s="36">
        <v>0</v>
      </c>
      <c r="I130" s="13">
        <f t="shared" si="5"/>
        <v>0</v>
      </c>
      <c r="J130" s="12"/>
      <c r="K130" s="14">
        <f t="shared" si="8"/>
        <v>0</v>
      </c>
      <c r="M130" s="34">
        <f t="shared" si="6"/>
        <v>0</v>
      </c>
      <c r="N130" s="43">
        <f t="shared" si="7"/>
        <v>0</v>
      </c>
    </row>
    <row r="131" spans="1:14" ht="15.75" x14ac:dyDescent="0.25">
      <c r="B131" s="20">
        <v>330</v>
      </c>
      <c r="C131" s="21" t="s">
        <v>93</v>
      </c>
      <c r="D131" s="40">
        <v>20</v>
      </c>
      <c r="E131" s="11"/>
      <c r="F131" s="36">
        <v>0</v>
      </c>
      <c r="G131" s="36">
        <v>0</v>
      </c>
      <c r="H131" s="36">
        <v>0</v>
      </c>
      <c r="I131" s="13">
        <f t="shared" si="5"/>
        <v>0</v>
      </c>
      <c r="J131" s="12"/>
      <c r="K131" s="14">
        <f t="shared" si="8"/>
        <v>0</v>
      </c>
      <c r="M131" s="34">
        <f t="shared" ref="M131:M184" si="9">L131-I131</f>
        <v>0</v>
      </c>
      <c r="N131" s="43">
        <f t="shared" ref="N131:N184" si="10">I131*D131</f>
        <v>0</v>
      </c>
    </row>
    <row r="132" spans="1:14" ht="15.75" x14ac:dyDescent="0.25">
      <c r="B132" s="20">
        <v>330</v>
      </c>
      <c r="C132" s="21" t="s">
        <v>94</v>
      </c>
      <c r="D132" s="40">
        <v>20</v>
      </c>
      <c r="E132" s="11"/>
      <c r="F132" s="36">
        <v>0</v>
      </c>
      <c r="G132" s="36">
        <v>0</v>
      </c>
      <c r="H132" s="36">
        <v>0</v>
      </c>
      <c r="I132" s="13">
        <f t="shared" ref="I132:I184" si="11">E132+F132+G132+H132</f>
        <v>0</v>
      </c>
      <c r="J132" s="12"/>
      <c r="K132" s="14">
        <f t="shared" si="8"/>
        <v>0</v>
      </c>
      <c r="M132" s="34">
        <f t="shared" si="9"/>
        <v>0</v>
      </c>
      <c r="N132" s="43">
        <f t="shared" si="10"/>
        <v>0</v>
      </c>
    </row>
    <row r="133" spans="1:14" ht="15.75" x14ac:dyDescent="0.25">
      <c r="B133" s="20">
        <v>330</v>
      </c>
      <c r="C133" s="21" t="s">
        <v>95</v>
      </c>
      <c r="D133" s="40">
        <v>20</v>
      </c>
      <c r="E133" s="11"/>
      <c r="F133" s="36">
        <v>0</v>
      </c>
      <c r="G133" s="36">
        <v>0</v>
      </c>
      <c r="H133" s="36">
        <v>0</v>
      </c>
      <c r="I133" s="13">
        <f t="shared" si="11"/>
        <v>0</v>
      </c>
      <c r="J133" s="12"/>
      <c r="K133" s="14">
        <f t="shared" si="8"/>
        <v>0</v>
      </c>
      <c r="M133" s="34">
        <f t="shared" si="9"/>
        <v>0</v>
      </c>
      <c r="N133" s="43">
        <f t="shared" si="10"/>
        <v>0</v>
      </c>
    </row>
    <row r="134" spans="1:14" ht="15.75" x14ac:dyDescent="0.25">
      <c r="B134" s="20">
        <v>330</v>
      </c>
      <c r="C134" s="21" t="s">
        <v>96</v>
      </c>
      <c r="D134" s="40">
        <v>20</v>
      </c>
      <c r="E134" s="11"/>
      <c r="F134" s="36">
        <v>0</v>
      </c>
      <c r="G134" s="36">
        <v>0</v>
      </c>
      <c r="H134" s="36">
        <v>0</v>
      </c>
      <c r="I134" s="13">
        <f t="shared" si="11"/>
        <v>0</v>
      </c>
      <c r="J134" s="12"/>
      <c r="K134" s="14">
        <f t="shared" si="8"/>
        <v>0</v>
      </c>
      <c r="M134" s="34">
        <f t="shared" si="9"/>
        <v>0</v>
      </c>
      <c r="N134" s="43">
        <f t="shared" si="10"/>
        <v>0</v>
      </c>
    </row>
    <row r="135" spans="1:14" ht="15.75" x14ac:dyDescent="0.25">
      <c r="B135" s="20">
        <v>330</v>
      </c>
      <c r="C135" s="21" t="s">
        <v>97</v>
      </c>
      <c r="D135" s="40">
        <v>20</v>
      </c>
      <c r="E135" s="11"/>
      <c r="F135" s="36">
        <v>0</v>
      </c>
      <c r="G135" s="36">
        <v>0</v>
      </c>
      <c r="H135" s="36">
        <v>0</v>
      </c>
      <c r="I135" s="13">
        <f t="shared" si="11"/>
        <v>0</v>
      </c>
      <c r="J135" s="12"/>
      <c r="K135" s="14">
        <f t="shared" si="8"/>
        <v>0</v>
      </c>
      <c r="M135" s="34">
        <f t="shared" si="9"/>
        <v>0</v>
      </c>
      <c r="N135" s="43">
        <f t="shared" si="10"/>
        <v>0</v>
      </c>
    </row>
    <row r="136" spans="1:14" ht="15.75" x14ac:dyDescent="0.25">
      <c r="B136" s="20"/>
      <c r="C136" s="21" t="s">
        <v>98</v>
      </c>
      <c r="D136" s="40">
        <v>20</v>
      </c>
      <c r="E136" s="11"/>
      <c r="F136" s="36">
        <v>0</v>
      </c>
      <c r="G136" s="36">
        <v>0</v>
      </c>
      <c r="H136" s="36">
        <v>0</v>
      </c>
      <c r="I136" s="13">
        <f t="shared" si="11"/>
        <v>0</v>
      </c>
      <c r="J136" s="12"/>
      <c r="K136" s="14">
        <f t="shared" si="8"/>
        <v>0</v>
      </c>
      <c r="M136" s="34">
        <f t="shared" si="9"/>
        <v>0</v>
      </c>
      <c r="N136" s="43">
        <f t="shared" si="10"/>
        <v>0</v>
      </c>
    </row>
    <row r="137" spans="1:14" ht="15.75" x14ac:dyDescent="0.25">
      <c r="B137" s="24">
        <v>473</v>
      </c>
      <c r="C137" s="21" t="s">
        <v>43</v>
      </c>
      <c r="D137" s="40">
        <v>25</v>
      </c>
      <c r="E137" s="11"/>
      <c r="F137" s="36">
        <v>0</v>
      </c>
      <c r="G137" s="36">
        <v>0</v>
      </c>
      <c r="H137" s="36">
        <v>0</v>
      </c>
      <c r="I137" s="13">
        <f t="shared" si="11"/>
        <v>0</v>
      </c>
      <c r="J137" s="12"/>
      <c r="K137" s="14">
        <f t="shared" si="8"/>
        <v>0</v>
      </c>
      <c r="M137" s="34">
        <f t="shared" si="9"/>
        <v>0</v>
      </c>
      <c r="N137" s="43">
        <f t="shared" si="10"/>
        <v>0</v>
      </c>
    </row>
    <row r="138" spans="1:14" ht="15.75" x14ac:dyDescent="0.25">
      <c r="B138" s="24">
        <v>473</v>
      </c>
      <c r="C138" s="21" t="s">
        <v>45</v>
      </c>
      <c r="D138" s="40">
        <v>25</v>
      </c>
      <c r="E138" s="11"/>
      <c r="F138" s="36">
        <v>0</v>
      </c>
      <c r="G138" s="36">
        <v>0</v>
      </c>
      <c r="H138" s="36">
        <v>0</v>
      </c>
      <c r="I138" s="13">
        <f t="shared" si="11"/>
        <v>0</v>
      </c>
      <c r="J138" s="12"/>
      <c r="K138" s="14">
        <f t="shared" si="8"/>
        <v>0</v>
      </c>
      <c r="M138" s="34">
        <f t="shared" si="9"/>
        <v>0</v>
      </c>
      <c r="N138" s="43">
        <f t="shared" si="10"/>
        <v>0</v>
      </c>
    </row>
    <row r="139" spans="1:14" ht="15.75" x14ac:dyDescent="0.25">
      <c r="A139">
        <v>599675</v>
      </c>
      <c r="B139" s="24">
        <v>473</v>
      </c>
      <c r="C139" s="21" t="s">
        <v>99</v>
      </c>
      <c r="D139" s="40">
        <v>25</v>
      </c>
      <c r="E139" s="11"/>
      <c r="F139" s="36">
        <v>0</v>
      </c>
      <c r="G139" s="36">
        <v>0</v>
      </c>
      <c r="H139" s="36">
        <v>0</v>
      </c>
      <c r="I139" s="13">
        <f t="shared" si="11"/>
        <v>0</v>
      </c>
      <c r="J139" s="12"/>
      <c r="K139" s="14">
        <f t="shared" si="8"/>
        <v>0</v>
      </c>
      <c r="M139" s="34">
        <f t="shared" si="9"/>
        <v>0</v>
      </c>
      <c r="N139" s="43">
        <f t="shared" si="10"/>
        <v>0</v>
      </c>
    </row>
    <row r="140" spans="1:14" ht="15.75" x14ac:dyDescent="0.25">
      <c r="B140" s="20">
        <v>473</v>
      </c>
      <c r="C140" s="21" t="s">
        <v>46</v>
      </c>
      <c r="D140" s="40">
        <v>25</v>
      </c>
      <c r="E140" s="11"/>
      <c r="F140" s="36">
        <v>0</v>
      </c>
      <c r="G140" s="36">
        <v>0</v>
      </c>
      <c r="H140" s="36">
        <v>0</v>
      </c>
      <c r="I140" s="13">
        <f t="shared" si="11"/>
        <v>0</v>
      </c>
      <c r="J140" s="12"/>
      <c r="K140" s="14">
        <f t="shared" si="8"/>
        <v>0</v>
      </c>
      <c r="M140" s="34">
        <f t="shared" si="9"/>
        <v>0</v>
      </c>
      <c r="N140" s="43">
        <f t="shared" si="10"/>
        <v>0</v>
      </c>
    </row>
    <row r="141" spans="1:14" ht="15.75" x14ac:dyDescent="0.25">
      <c r="A141">
        <v>522564</v>
      </c>
      <c r="B141" s="20">
        <v>473</v>
      </c>
      <c r="C141" s="21" t="s">
        <v>100</v>
      </c>
      <c r="D141" s="40">
        <v>25</v>
      </c>
      <c r="E141" s="11"/>
      <c r="F141" s="36">
        <v>0</v>
      </c>
      <c r="G141" s="36">
        <v>0</v>
      </c>
      <c r="H141" s="36">
        <v>0</v>
      </c>
      <c r="I141" s="13">
        <f t="shared" si="11"/>
        <v>0</v>
      </c>
      <c r="J141" s="12"/>
      <c r="K141" s="14">
        <f>I141-J141</f>
        <v>0</v>
      </c>
      <c r="M141" s="34">
        <f t="shared" si="9"/>
        <v>0</v>
      </c>
      <c r="N141" s="43">
        <f t="shared" si="10"/>
        <v>0</v>
      </c>
    </row>
    <row r="142" spans="1:14" ht="15.75" x14ac:dyDescent="0.25">
      <c r="B142" s="20">
        <v>625</v>
      </c>
      <c r="C142" s="21" t="s">
        <v>100</v>
      </c>
      <c r="D142" s="40">
        <v>62.5</v>
      </c>
      <c r="E142" s="11"/>
      <c r="F142" s="36">
        <v>0</v>
      </c>
      <c r="G142" s="36">
        <v>0</v>
      </c>
      <c r="H142" s="36">
        <v>0</v>
      </c>
      <c r="I142" s="13">
        <f t="shared" si="11"/>
        <v>0</v>
      </c>
      <c r="J142" s="12"/>
      <c r="K142" s="14">
        <f t="shared" si="8"/>
        <v>0</v>
      </c>
      <c r="M142" s="34">
        <f t="shared" si="9"/>
        <v>0</v>
      </c>
      <c r="N142" s="43">
        <f t="shared" si="10"/>
        <v>0</v>
      </c>
    </row>
    <row r="143" spans="1:14" ht="15.75" x14ac:dyDescent="0.25">
      <c r="A143" t="s">
        <v>101</v>
      </c>
      <c r="B143" s="20"/>
      <c r="C143" s="21" t="s">
        <v>102</v>
      </c>
      <c r="D143" s="40">
        <v>60</v>
      </c>
      <c r="E143" s="11"/>
      <c r="F143" s="36">
        <v>0</v>
      </c>
      <c r="G143" s="36">
        <v>0</v>
      </c>
      <c r="H143" s="36">
        <v>0</v>
      </c>
      <c r="I143" s="13">
        <f t="shared" si="11"/>
        <v>0</v>
      </c>
      <c r="J143" s="12"/>
      <c r="K143" s="14">
        <f t="shared" si="8"/>
        <v>0</v>
      </c>
      <c r="M143" s="34">
        <f t="shared" si="9"/>
        <v>0</v>
      </c>
      <c r="N143" s="43">
        <f t="shared" si="10"/>
        <v>0</v>
      </c>
    </row>
    <row r="144" spans="1:14" ht="15.75" x14ac:dyDescent="0.25">
      <c r="B144" s="20">
        <v>400</v>
      </c>
      <c r="C144" s="21" t="s">
        <v>103</v>
      </c>
      <c r="D144" s="40">
        <v>25</v>
      </c>
      <c r="E144" s="11"/>
      <c r="F144" s="36">
        <v>0</v>
      </c>
      <c r="G144" s="36">
        <v>0</v>
      </c>
      <c r="H144" s="36">
        <v>0</v>
      </c>
      <c r="I144" s="13">
        <f t="shared" si="11"/>
        <v>0</v>
      </c>
      <c r="J144" s="12"/>
      <c r="K144" s="14">
        <f t="shared" si="8"/>
        <v>0</v>
      </c>
      <c r="M144" s="34">
        <f t="shared" si="9"/>
        <v>0</v>
      </c>
      <c r="N144" s="43">
        <f t="shared" si="10"/>
        <v>0</v>
      </c>
    </row>
    <row r="145" spans="1:14" ht="15.75" x14ac:dyDescent="0.25">
      <c r="B145" s="20">
        <v>300</v>
      </c>
      <c r="C145" s="21" t="s">
        <v>43</v>
      </c>
      <c r="D145" s="40">
        <v>30</v>
      </c>
      <c r="E145" s="11"/>
      <c r="F145" s="36">
        <v>0</v>
      </c>
      <c r="G145" s="36">
        <v>0</v>
      </c>
      <c r="H145" s="36">
        <v>0</v>
      </c>
      <c r="I145" s="13">
        <f t="shared" si="11"/>
        <v>0</v>
      </c>
      <c r="J145" s="12"/>
      <c r="K145" s="14">
        <f t="shared" si="8"/>
        <v>0</v>
      </c>
      <c r="M145" s="34">
        <f t="shared" si="9"/>
        <v>0</v>
      </c>
      <c r="N145" s="43">
        <f t="shared" si="10"/>
        <v>0</v>
      </c>
    </row>
    <row r="146" spans="1:14" ht="15.75" x14ac:dyDescent="0.25">
      <c r="B146" s="20">
        <v>300</v>
      </c>
      <c r="C146" s="21" t="s">
        <v>45</v>
      </c>
      <c r="D146" s="40">
        <v>30</v>
      </c>
      <c r="E146" s="11"/>
      <c r="F146" s="36">
        <v>0</v>
      </c>
      <c r="G146" s="36">
        <v>0</v>
      </c>
      <c r="H146" s="36">
        <v>0</v>
      </c>
      <c r="I146" s="13">
        <f t="shared" si="11"/>
        <v>0</v>
      </c>
      <c r="J146" s="12"/>
      <c r="K146" s="14">
        <f t="shared" si="8"/>
        <v>0</v>
      </c>
      <c r="M146" s="34">
        <f t="shared" si="9"/>
        <v>0</v>
      </c>
      <c r="N146" s="43">
        <f t="shared" si="10"/>
        <v>0</v>
      </c>
    </row>
    <row r="147" spans="1:14" ht="15.75" x14ac:dyDescent="0.25">
      <c r="B147" s="20">
        <v>300</v>
      </c>
      <c r="C147" s="21" t="s">
        <v>44</v>
      </c>
      <c r="D147" s="40">
        <v>30</v>
      </c>
      <c r="E147" s="11"/>
      <c r="F147" s="36">
        <v>0</v>
      </c>
      <c r="G147" s="36">
        <v>0</v>
      </c>
      <c r="H147" s="36">
        <v>0</v>
      </c>
      <c r="I147" s="13">
        <f t="shared" si="11"/>
        <v>0</v>
      </c>
      <c r="J147" s="12"/>
      <c r="K147" s="14">
        <f t="shared" si="8"/>
        <v>0</v>
      </c>
      <c r="M147" s="34">
        <f t="shared" si="9"/>
        <v>0</v>
      </c>
      <c r="N147" s="43">
        <f t="shared" si="10"/>
        <v>0</v>
      </c>
    </row>
    <row r="148" spans="1:14" ht="15.75" x14ac:dyDescent="0.25">
      <c r="B148" s="20">
        <v>1090</v>
      </c>
      <c r="C148" s="21" t="s">
        <v>11</v>
      </c>
      <c r="D148" s="40">
        <v>25</v>
      </c>
      <c r="E148" s="11"/>
      <c r="F148" s="36">
        <v>0</v>
      </c>
      <c r="G148" s="36">
        <v>0</v>
      </c>
      <c r="H148" s="36">
        <v>0</v>
      </c>
      <c r="I148" s="13">
        <f t="shared" si="11"/>
        <v>0</v>
      </c>
      <c r="J148" s="12"/>
      <c r="K148" s="14">
        <f t="shared" si="8"/>
        <v>0</v>
      </c>
      <c r="M148" s="34">
        <f t="shared" si="9"/>
        <v>0</v>
      </c>
      <c r="N148" s="43">
        <f t="shared" si="10"/>
        <v>0</v>
      </c>
    </row>
    <row r="149" spans="1:14" ht="15.75" x14ac:dyDescent="0.25">
      <c r="B149" s="20">
        <v>2600</v>
      </c>
      <c r="C149" s="21" t="s">
        <v>11</v>
      </c>
      <c r="D149" s="40">
        <v>50</v>
      </c>
      <c r="E149" s="11"/>
      <c r="F149" s="36">
        <v>0</v>
      </c>
      <c r="G149" s="36">
        <v>0</v>
      </c>
      <c r="H149" s="36">
        <v>0</v>
      </c>
      <c r="I149" s="13">
        <f t="shared" si="11"/>
        <v>0</v>
      </c>
      <c r="J149" s="12"/>
      <c r="K149" s="14">
        <f t="shared" si="8"/>
        <v>0</v>
      </c>
      <c r="M149" s="34">
        <f t="shared" si="9"/>
        <v>0</v>
      </c>
      <c r="N149" s="43">
        <f t="shared" si="10"/>
        <v>0</v>
      </c>
    </row>
    <row r="150" spans="1:14" ht="15.75" x14ac:dyDescent="0.25">
      <c r="B150" s="20">
        <v>250</v>
      </c>
      <c r="C150" s="21" t="s">
        <v>104</v>
      </c>
      <c r="D150" s="40">
        <v>41</v>
      </c>
      <c r="E150" s="11"/>
      <c r="F150" s="36">
        <v>0</v>
      </c>
      <c r="G150" s="36">
        <v>0</v>
      </c>
      <c r="H150" s="36">
        <v>0</v>
      </c>
      <c r="I150" s="13">
        <f t="shared" si="11"/>
        <v>0</v>
      </c>
      <c r="J150" s="12"/>
      <c r="K150" s="14">
        <f t="shared" si="8"/>
        <v>0</v>
      </c>
      <c r="M150" s="34">
        <f t="shared" si="9"/>
        <v>0</v>
      </c>
      <c r="N150" s="43">
        <f t="shared" si="10"/>
        <v>0</v>
      </c>
    </row>
    <row r="151" spans="1:14" ht="15.75" x14ac:dyDescent="0.25">
      <c r="B151" s="20"/>
      <c r="C151" s="21" t="s">
        <v>105</v>
      </c>
      <c r="D151" s="40">
        <v>41</v>
      </c>
      <c r="E151" s="11"/>
      <c r="F151" s="36">
        <v>0</v>
      </c>
      <c r="G151" s="36">
        <v>0</v>
      </c>
      <c r="H151" s="36">
        <v>0</v>
      </c>
      <c r="I151" s="13">
        <f t="shared" si="11"/>
        <v>0</v>
      </c>
      <c r="J151" s="12"/>
      <c r="K151" s="14">
        <f t="shared" si="8"/>
        <v>0</v>
      </c>
      <c r="M151" s="34">
        <f t="shared" si="9"/>
        <v>0</v>
      </c>
      <c r="N151" s="43">
        <f t="shared" si="10"/>
        <v>0</v>
      </c>
    </row>
    <row r="152" spans="1:14" ht="15.75" x14ac:dyDescent="0.25">
      <c r="B152" s="20"/>
      <c r="C152" s="21" t="s">
        <v>16</v>
      </c>
      <c r="D152" s="40">
        <v>41</v>
      </c>
      <c r="E152" s="11"/>
      <c r="F152" s="36">
        <v>0</v>
      </c>
      <c r="G152" s="36">
        <v>0</v>
      </c>
      <c r="H152" s="36">
        <v>0</v>
      </c>
      <c r="I152" s="13">
        <f t="shared" si="11"/>
        <v>0</v>
      </c>
      <c r="J152" s="12"/>
      <c r="K152" s="14">
        <f t="shared" si="8"/>
        <v>0</v>
      </c>
      <c r="M152" s="34">
        <f t="shared" si="9"/>
        <v>0</v>
      </c>
      <c r="N152" s="43">
        <f t="shared" si="10"/>
        <v>0</v>
      </c>
    </row>
    <row r="153" spans="1:14" ht="15.75" x14ac:dyDescent="0.25">
      <c r="B153" s="20"/>
      <c r="C153" s="21" t="s">
        <v>106</v>
      </c>
      <c r="D153" s="40">
        <v>41</v>
      </c>
      <c r="E153" s="11"/>
      <c r="F153" s="36">
        <v>0</v>
      </c>
      <c r="G153" s="36">
        <v>0</v>
      </c>
      <c r="H153" s="36">
        <v>0</v>
      </c>
      <c r="I153" s="13">
        <f t="shared" si="11"/>
        <v>0</v>
      </c>
      <c r="J153" s="12"/>
      <c r="K153" s="14">
        <f t="shared" si="8"/>
        <v>0</v>
      </c>
      <c r="M153" s="34">
        <f t="shared" si="9"/>
        <v>0</v>
      </c>
      <c r="N153" s="43">
        <f t="shared" si="10"/>
        <v>0</v>
      </c>
    </row>
    <row r="154" spans="1:14" ht="15.75" x14ac:dyDescent="0.25">
      <c r="B154" s="20"/>
      <c r="C154" s="21" t="s">
        <v>107</v>
      </c>
      <c r="D154" s="40">
        <v>41</v>
      </c>
      <c r="E154" s="11"/>
      <c r="F154" s="36">
        <v>0</v>
      </c>
      <c r="G154" s="36">
        <v>0</v>
      </c>
      <c r="H154" s="36">
        <v>0</v>
      </c>
      <c r="I154" s="13">
        <f t="shared" si="11"/>
        <v>0</v>
      </c>
      <c r="J154" s="12"/>
      <c r="K154" s="14">
        <f t="shared" si="8"/>
        <v>0</v>
      </c>
      <c r="M154" s="34">
        <f t="shared" si="9"/>
        <v>0</v>
      </c>
      <c r="N154" s="43">
        <f t="shared" si="10"/>
        <v>0</v>
      </c>
    </row>
    <row r="155" spans="1:14" ht="15.75" x14ac:dyDescent="0.25">
      <c r="B155" s="20"/>
      <c r="C155" s="21" t="s">
        <v>108</v>
      </c>
      <c r="D155" s="40">
        <v>41</v>
      </c>
      <c r="E155" s="11"/>
      <c r="F155" s="36">
        <v>0</v>
      </c>
      <c r="G155" s="36">
        <v>0</v>
      </c>
      <c r="H155" s="36">
        <v>0</v>
      </c>
      <c r="I155" s="13">
        <f t="shared" si="11"/>
        <v>0</v>
      </c>
      <c r="J155" s="12"/>
      <c r="K155" s="14">
        <f t="shared" si="8"/>
        <v>0</v>
      </c>
      <c r="M155" s="34">
        <f t="shared" si="9"/>
        <v>0</v>
      </c>
      <c r="N155" s="43">
        <f t="shared" si="10"/>
        <v>0</v>
      </c>
    </row>
    <row r="156" spans="1:14" ht="15.75" x14ac:dyDescent="0.25">
      <c r="A156">
        <v>699952</v>
      </c>
      <c r="B156" s="20"/>
      <c r="C156" s="21" t="s">
        <v>109</v>
      </c>
      <c r="D156" s="40">
        <v>52.2</v>
      </c>
      <c r="E156" s="11"/>
      <c r="F156" s="36">
        <v>0</v>
      </c>
      <c r="G156" s="36">
        <v>0</v>
      </c>
      <c r="H156" s="36">
        <v>0</v>
      </c>
      <c r="I156" s="13">
        <f t="shared" si="11"/>
        <v>0</v>
      </c>
      <c r="J156" s="12"/>
      <c r="K156" s="14">
        <f t="shared" si="8"/>
        <v>0</v>
      </c>
      <c r="M156" s="34">
        <f t="shared" si="9"/>
        <v>0</v>
      </c>
      <c r="N156" s="43">
        <f t="shared" si="10"/>
        <v>0</v>
      </c>
    </row>
    <row r="157" spans="1:14" ht="15.75" x14ac:dyDescent="0.25">
      <c r="A157">
        <v>501020</v>
      </c>
      <c r="B157" s="24">
        <v>360</v>
      </c>
      <c r="C157" s="21" t="s">
        <v>110</v>
      </c>
      <c r="D157" s="40">
        <v>23.5</v>
      </c>
      <c r="E157" s="11">
        <v>53</v>
      </c>
      <c r="F157" s="36">
        <v>12</v>
      </c>
      <c r="G157" s="36">
        <v>6</v>
      </c>
      <c r="H157" s="36">
        <v>5</v>
      </c>
      <c r="I157" s="13">
        <f t="shared" si="11"/>
        <v>76</v>
      </c>
      <c r="J157" s="12"/>
      <c r="K157" s="14">
        <f t="shared" si="8"/>
        <v>76</v>
      </c>
      <c r="L157">
        <v>76</v>
      </c>
      <c r="M157" s="34">
        <f t="shared" si="9"/>
        <v>0</v>
      </c>
      <c r="N157" s="43">
        <f t="shared" si="10"/>
        <v>1786</v>
      </c>
    </row>
    <row r="158" spans="1:14" ht="15.75" x14ac:dyDescent="0.25">
      <c r="A158">
        <v>501505</v>
      </c>
      <c r="B158" s="24">
        <v>360</v>
      </c>
      <c r="C158" s="21" t="s">
        <v>17</v>
      </c>
      <c r="D158" s="40">
        <v>47</v>
      </c>
      <c r="E158" s="11"/>
      <c r="F158" s="36">
        <v>0</v>
      </c>
      <c r="G158" s="36">
        <v>0</v>
      </c>
      <c r="H158" s="36">
        <v>0</v>
      </c>
      <c r="I158" s="13">
        <f t="shared" si="11"/>
        <v>0</v>
      </c>
      <c r="J158" s="12"/>
      <c r="K158" s="14">
        <f t="shared" si="8"/>
        <v>0</v>
      </c>
      <c r="M158" s="34">
        <f t="shared" si="9"/>
        <v>0</v>
      </c>
      <c r="N158" s="43">
        <f t="shared" si="10"/>
        <v>0</v>
      </c>
    </row>
    <row r="159" spans="1:14" ht="15.75" x14ac:dyDescent="0.25">
      <c r="B159" s="20">
        <v>250</v>
      </c>
      <c r="C159" s="21" t="s">
        <v>111</v>
      </c>
      <c r="D159" s="40">
        <v>25</v>
      </c>
      <c r="E159" s="11"/>
      <c r="F159" s="36">
        <v>0</v>
      </c>
      <c r="G159" s="36">
        <v>0</v>
      </c>
      <c r="H159" s="36">
        <v>0</v>
      </c>
      <c r="I159" s="13">
        <f t="shared" si="11"/>
        <v>0</v>
      </c>
      <c r="J159" s="12"/>
      <c r="K159" s="14">
        <f t="shared" si="8"/>
        <v>0</v>
      </c>
      <c r="M159" s="34">
        <f t="shared" si="9"/>
        <v>0</v>
      </c>
      <c r="N159" s="43">
        <f t="shared" si="10"/>
        <v>0</v>
      </c>
    </row>
    <row r="160" spans="1:14" ht="15.75" x14ac:dyDescent="0.25">
      <c r="B160" s="20">
        <v>250</v>
      </c>
      <c r="C160" s="21" t="s">
        <v>112</v>
      </c>
      <c r="D160" s="40">
        <v>25</v>
      </c>
      <c r="E160" s="11"/>
      <c r="F160" s="36">
        <v>0</v>
      </c>
      <c r="G160" s="36">
        <v>0</v>
      </c>
      <c r="H160" s="36">
        <v>0</v>
      </c>
      <c r="I160" s="13">
        <f t="shared" si="11"/>
        <v>0</v>
      </c>
      <c r="J160" s="12"/>
      <c r="K160" s="14">
        <f t="shared" si="8"/>
        <v>0</v>
      </c>
      <c r="M160" s="34">
        <f t="shared" si="9"/>
        <v>0</v>
      </c>
      <c r="N160" s="43">
        <f t="shared" si="10"/>
        <v>0</v>
      </c>
    </row>
    <row r="161" spans="1:14" ht="15.75" x14ac:dyDescent="0.25">
      <c r="A161">
        <v>501207</v>
      </c>
      <c r="B161" s="20">
        <v>360</v>
      </c>
      <c r="C161" s="21" t="s">
        <v>113</v>
      </c>
      <c r="D161" s="40">
        <v>47</v>
      </c>
      <c r="E161" s="11"/>
      <c r="F161" s="36">
        <v>0</v>
      </c>
      <c r="G161" s="36">
        <v>0</v>
      </c>
      <c r="H161" s="36">
        <v>0</v>
      </c>
      <c r="I161" s="13">
        <f t="shared" si="11"/>
        <v>0</v>
      </c>
      <c r="J161" s="12"/>
      <c r="K161" s="14">
        <f t="shared" si="8"/>
        <v>0</v>
      </c>
      <c r="M161" s="34">
        <f t="shared" si="9"/>
        <v>0</v>
      </c>
      <c r="N161" s="43">
        <f t="shared" si="10"/>
        <v>0</v>
      </c>
    </row>
    <row r="162" spans="1:14" ht="15.75" x14ac:dyDescent="0.25">
      <c r="A162">
        <v>599858</v>
      </c>
      <c r="B162" s="22"/>
      <c r="C162" s="23" t="s">
        <v>114</v>
      </c>
      <c r="D162" s="40">
        <v>44</v>
      </c>
      <c r="E162" s="11"/>
      <c r="F162" s="36">
        <v>0</v>
      </c>
      <c r="G162" s="36">
        <v>0</v>
      </c>
      <c r="H162" s="36">
        <v>0</v>
      </c>
      <c r="I162" s="13">
        <f t="shared" si="11"/>
        <v>0</v>
      </c>
      <c r="J162" s="12"/>
      <c r="K162" s="14">
        <f t="shared" si="8"/>
        <v>0</v>
      </c>
      <c r="M162" s="34">
        <f t="shared" si="9"/>
        <v>0</v>
      </c>
      <c r="N162" s="43">
        <f t="shared" si="10"/>
        <v>0</v>
      </c>
    </row>
    <row r="163" spans="1:14" ht="15.75" x14ac:dyDescent="0.25">
      <c r="A163">
        <v>599857</v>
      </c>
      <c r="B163" s="22"/>
      <c r="C163" s="23" t="s">
        <v>115</v>
      </c>
      <c r="D163" s="40">
        <v>44</v>
      </c>
      <c r="E163" s="11"/>
      <c r="F163" s="36">
        <v>0</v>
      </c>
      <c r="G163" s="36">
        <v>0</v>
      </c>
      <c r="H163" s="36">
        <v>0</v>
      </c>
      <c r="I163" s="13">
        <f t="shared" si="11"/>
        <v>0</v>
      </c>
      <c r="J163" s="12"/>
      <c r="K163" s="14">
        <f t="shared" si="8"/>
        <v>0</v>
      </c>
      <c r="M163" s="34">
        <f t="shared" si="9"/>
        <v>0</v>
      </c>
      <c r="N163" s="43">
        <f t="shared" si="10"/>
        <v>0</v>
      </c>
    </row>
    <row r="164" spans="1:14" ht="15.75" x14ac:dyDescent="0.25">
      <c r="A164">
        <v>621972</v>
      </c>
      <c r="B164" s="20"/>
      <c r="C164" s="21" t="s">
        <v>116</v>
      </c>
      <c r="D164" s="40">
        <v>14.4</v>
      </c>
      <c r="E164" s="11"/>
      <c r="F164" s="36">
        <v>0</v>
      </c>
      <c r="G164" s="36">
        <v>0</v>
      </c>
      <c r="H164" s="36">
        <v>0</v>
      </c>
      <c r="I164" s="13">
        <f t="shared" si="11"/>
        <v>0</v>
      </c>
      <c r="J164" s="12"/>
      <c r="K164" s="14">
        <f t="shared" si="8"/>
        <v>0</v>
      </c>
      <c r="M164" s="34">
        <f t="shared" si="9"/>
        <v>0</v>
      </c>
      <c r="N164" s="43">
        <f t="shared" si="10"/>
        <v>0</v>
      </c>
    </row>
    <row r="165" spans="1:14" ht="15.75" x14ac:dyDescent="0.25">
      <c r="A165">
        <v>622165</v>
      </c>
      <c r="B165" s="20"/>
      <c r="C165" s="21" t="s">
        <v>117</v>
      </c>
      <c r="D165" s="40">
        <v>73.7</v>
      </c>
      <c r="E165" s="11"/>
      <c r="F165" s="36">
        <v>0</v>
      </c>
      <c r="G165" s="36">
        <v>0</v>
      </c>
      <c r="H165" s="36">
        <v>0</v>
      </c>
      <c r="I165" s="13">
        <f t="shared" si="11"/>
        <v>0</v>
      </c>
      <c r="J165" s="12"/>
      <c r="K165" s="14">
        <f t="shared" si="8"/>
        <v>0</v>
      </c>
      <c r="M165" s="34">
        <f t="shared" si="9"/>
        <v>0</v>
      </c>
      <c r="N165" s="43">
        <f t="shared" si="10"/>
        <v>0</v>
      </c>
    </row>
    <row r="166" spans="1:14" ht="15.75" x14ac:dyDescent="0.25">
      <c r="B166" s="20">
        <v>300</v>
      </c>
      <c r="C166" s="21" t="s">
        <v>104</v>
      </c>
      <c r="D166" s="40">
        <v>40</v>
      </c>
      <c r="E166" s="11"/>
      <c r="F166" s="36">
        <v>0</v>
      </c>
      <c r="G166" s="36">
        <v>0</v>
      </c>
      <c r="H166" s="36">
        <v>0</v>
      </c>
      <c r="I166" s="13">
        <f t="shared" si="11"/>
        <v>0</v>
      </c>
      <c r="J166" s="12"/>
      <c r="K166" s="14">
        <f t="shared" si="8"/>
        <v>0</v>
      </c>
      <c r="M166" s="34">
        <f t="shared" si="9"/>
        <v>0</v>
      </c>
      <c r="N166" s="43">
        <f t="shared" si="10"/>
        <v>0</v>
      </c>
    </row>
    <row r="167" spans="1:14" ht="15.75" x14ac:dyDescent="0.25">
      <c r="A167">
        <v>622164</v>
      </c>
      <c r="B167" s="20"/>
      <c r="C167" s="21" t="s">
        <v>118</v>
      </c>
      <c r="D167" s="40">
        <v>30</v>
      </c>
      <c r="E167" s="11"/>
      <c r="F167" s="36">
        <v>0</v>
      </c>
      <c r="G167" s="36">
        <v>0</v>
      </c>
      <c r="H167" s="36">
        <v>0</v>
      </c>
      <c r="I167" s="13">
        <f t="shared" si="11"/>
        <v>0</v>
      </c>
      <c r="J167" s="12"/>
      <c r="K167" s="14">
        <f t="shared" si="8"/>
        <v>0</v>
      </c>
      <c r="M167" s="34">
        <f t="shared" si="9"/>
        <v>0</v>
      </c>
      <c r="N167" s="43">
        <f t="shared" si="10"/>
        <v>0</v>
      </c>
    </row>
    <row r="168" spans="1:14" ht="15.75" x14ac:dyDescent="0.25">
      <c r="A168">
        <v>621967</v>
      </c>
      <c r="B168" s="20"/>
      <c r="C168" s="21" t="s">
        <v>118</v>
      </c>
      <c r="D168" s="40">
        <v>90</v>
      </c>
      <c r="E168" s="11">
        <v>6</v>
      </c>
      <c r="F168" s="36">
        <v>2</v>
      </c>
      <c r="G168" s="36">
        <v>0</v>
      </c>
      <c r="H168" s="36">
        <v>1</v>
      </c>
      <c r="I168" s="13">
        <f t="shared" si="11"/>
        <v>9</v>
      </c>
      <c r="J168" s="12"/>
      <c r="K168" s="14">
        <f t="shared" si="8"/>
        <v>9</v>
      </c>
      <c r="L168">
        <v>9</v>
      </c>
      <c r="M168" s="34">
        <f t="shared" si="9"/>
        <v>0</v>
      </c>
      <c r="N168" s="43">
        <f t="shared" si="10"/>
        <v>810</v>
      </c>
    </row>
    <row r="169" spans="1:14" ht="15.75" x14ac:dyDescent="0.25">
      <c r="A169">
        <v>500032</v>
      </c>
      <c r="B169" s="24">
        <v>360</v>
      </c>
      <c r="C169" s="21" t="s">
        <v>104</v>
      </c>
      <c r="D169" s="40">
        <v>47</v>
      </c>
      <c r="E169" s="11"/>
      <c r="F169" s="36">
        <v>0</v>
      </c>
      <c r="G169" s="36">
        <v>0</v>
      </c>
      <c r="H169" s="36">
        <v>0</v>
      </c>
      <c r="I169" s="13">
        <f t="shared" si="11"/>
        <v>0</v>
      </c>
      <c r="J169" s="12"/>
      <c r="K169" s="14">
        <f t="shared" si="8"/>
        <v>0</v>
      </c>
      <c r="M169" s="34">
        <f t="shared" si="9"/>
        <v>0</v>
      </c>
      <c r="N169" s="43">
        <f t="shared" si="10"/>
        <v>0</v>
      </c>
    </row>
    <row r="170" spans="1:14" ht="15.75" x14ac:dyDescent="0.25">
      <c r="A170">
        <v>522459</v>
      </c>
      <c r="B170" s="24">
        <v>360</v>
      </c>
      <c r="C170" s="21" t="s">
        <v>119</v>
      </c>
      <c r="D170" s="40">
        <v>30</v>
      </c>
      <c r="E170" s="11">
        <v>1</v>
      </c>
      <c r="F170" s="36">
        <v>10</v>
      </c>
      <c r="G170" s="36">
        <v>1</v>
      </c>
      <c r="H170" s="36">
        <v>0</v>
      </c>
      <c r="I170" s="13">
        <f t="shared" si="11"/>
        <v>12</v>
      </c>
      <c r="J170" s="12"/>
      <c r="K170" s="14">
        <f t="shared" si="8"/>
        <v>12</v>
      </c>
      <c r="L170">
        <v>12</v>
      </c>
      <c r="M170" s="34">
        <f t="shared" si="9"/>
        <v>0</v>
      </c>
      <c r="N170" s="43">
        <f t="shared" si="10"/>
        <v>360</v>
      </c>
    </row>
    <row r="171" spans="1:14" ht="15.75" x14ac:dyDescent="0.25">
      <c r="A171">
        <v>522451</v>
      </c>
      <c r="B171" s="24">
        <v>360</v>
      </c>
      <c r="C171" s="21" t="s">
        <v>120</v>
      </c>
      <c r="D171" s="40">
        <v>30</v>
      </c>
      <c r="E171" s="11"/>
      <c r="F171" s="36">
        <v>0</v>
      </c>
      <c r="G171" s="36">
        <v>0</v>
      </c>
      <c r="H171" s="36">
        <v>0</v>
      </c>
      <c r="I171" s="13">
        <f t="shared" si="11"/>
        <v>0</v>
      </c>
      <c r="J171" s="12"/>
      <c r="K171" s="14">
        <f t="shared" si="8"/>
        <v>0</v>
      </c>
      <c r="M171" s="34">
        <f t="shared" si="9"/>
        <v>0</v>
      </c>
      <c r="N171" s="43">
        <f t="shared" si="10"/>
        <v>0</v>
      </c>
    </row>
    <row r="172" spans="1:14" ht="15.75" x14ac:dyDescent="0.25">
      <c r="A172">
        <v>522450</v>
      </c>
      <c r="B172" s="24">
        <v>360</v>
      </c>
      <c r="C172" s="21" t="s">
        <v>121</v>
      </c>
      <c r="D172" s="40">
        <v>30</v>
      </c>
      <c r="E172" s="11"/>
      <c r="F172" s="36">
        <v>18</v>
      </c>
      <c r="G172" s="36">
        <v>12</v>
      </c>
      <c r="H172" s="36">
        <v>8</v>
      </c>
      <c r="I172" s="13">
        <f t="shared" si="11"/>
        <v>38</v>
      </c>
      <c r="J172" s="12"/>
      <c r="K172" s="14">
        <f t="shared" si="8"/>
        <v>38</v>
      </c>
      <c r="L172">
        <v>38</v>
      </c>
      <c r="M172" s="34">
        <f t="shared" si="9"/>
        <v>0</v>
      </c>
      <c r="N172" s="43">
        <f t="shared" si="10"/>
        <v>1140</v>
      </c>
    </row>
    <row r="173" spans="1:14" ht="15.75" x14ac:dyDescent="0.25">
      <c r="A173">
        <v>522461</v>
      </c>
      <c r="B173" s="20">
        <v>360</v>
      </c>
      <c r="C173" s="21" t="s">
        <v>122</v>
      </c>
      <c r="D173" s="40">
        <v>30</v>
      </c>
      <c r="E173" s="11"/>
      <c r="F173" s="36">
        <v>0</v>
      </c>
      <c r="G173" s="36">
        <v>0</v>
      </c>
      <c r="H173" s="36">
        <v>0</v>
      </c>
      <c r="I173" s="13">
        <f t="shared" si="11"/>
        <v>0</v>
      </c>
      <c r="J173" s="12"/>
      <c r="K173" s="14">
        <f t="shared" si="8"/>
        <v>0</v>
      </c>
      <c r="M173" s="34">
        <f t="shared" si="9"/>
        <v>0</v>
      </c>
      <c r="N173" s="43">
        <f t="shared" si="10"/>
        <v>0</v>
      </c>
    </row>
    <row r="174" spans="1:14" ht="15.75" x14ac:dyDescent="0.25">
      <c r="A174">
        <v>522463</v>
      </c>
      <c r="B174" s="20">
        <v>360</v>
      </c>
      <c r="C174" s="21" t="s">
        <v>123</v>
      </c>
      <c r="D174" s="40">
        <v>30</v>
      </c>
      <c r="E174" s="11"/>
      <c r="F174" s="36">
        <v>0</v>
      </c>
      <c r="G174" s="36">
        <v>0</v>
      </c>
      <c r="H174" s="36">
        <v>0</v>
      </c>
      <c r="I174" s="13">
        <f t="shared" si="11"/>
        <v>0</v>
      </c>
      <c r="J174" s="12"/>
      <c r="K174" s="14">
        <f t="shared" si="8"/>
        <v>0</v>
      </c>
      <c r="M174" s="34">
        <f t="shared" si="9"/>
        <v>0</v>
      </c>
      <c r="N174" s="43">
        <f t="shared" si="10"/>
        <v>0</v>
      </c>
    </row>
    <row r="175" spans="1:14" ht="15.75" x14ac:dyDescent="0.25">
      <c r="A175">
        <v>522462</v>
      </c>
      <c r="B175" s="22">
        <v>360</v>
      </c>
      <c r="C175" s="23" t="s">
        <v>124</v>
      </c>
      <c r="D175" s="40">
        <v>30</v>
      </c>
      <c r="E175" s="11"/>
      <c r="F175" s="36">
        <v>0</v>
      </c>
      <c r="G175" s="36">
        <v>0</v>
      </c>
      <c r="H175" s="36">
        <v>0</v>
      </c>
      <c r="I175" s="13">
        <f t="shared" si="11"/>
        <v>0</v>
      </c>
      <c r="J175" s="12"/>
      <c r="K175" s="14">
        <f t="shared" si="8"/>
        <v>0</v>
      </c>
      <c r="M175" s="34">
        <f t="shared" si="9"/>
        <v>0</v>
      </c>
      <c r="N175" s="43">
        <f t="shared" si="10"/>
        <v>0</v>
      </c>
    </row>
    <row r="176" spans="1:14" ht="15.75" x14ac:dyDescent="0.25">
      <c r="A176">
        <v>522460</v>
      </c>
      <c r="B176" s="22">
        <v>360</v>
      </c>
      <c r="C176" s="23" t="s">
        <v>125</v>
      </c>
      <c r="D176" s="40">
        <v>30</v>
      </c>
      <c r="E176" s="11"/>
      <c r="F176" s="36">
        <v>0</v>
      </c>
      <c r="G176" s="36">
        <v>0</v>
      </c>
      <c r="H176" s="36">
        <v>0</v>
      </c>
      <c r="I176" s="13">
        <f t="shared" si="11"/>
        <v>0</v>
      </c>
      <c r="J176" s="12"/>
      <c r="K176" s="14">
        <f t="shared" si="8"/>
        <v>0</v>
      </c>
      <c r="M176" s="34">
        <f t="shared" si="9"/>
        <v>0</v>
      </c>
      <c r="N176" s="43">
        <f t="shared" si="10"/>
        <v>0</v>
      </c>
    </row>
    <row r="177" spans="1:14" ht="15.75" x14ac:dyDescent="0.25">
      <c r="A177">
        <v>522921</v>
      </c>
      <c r="B177" s="20">
        <v>600</v>
      </c>
      <c r="C177" s="21" t="s">
        <v>126</v>
      </c>
      <c r="D177" s="40">
        <v>50</v>
      </c>
      <c r="E177" s="11"/>
      <c r="F177" s="36">
        <v>0</v>
      </c>
      <c r="G177" s="36">
        <v>0</v>
      </c>
      <c r="H177" s="36">
        <v>0</v>
      </c>
      <c r="I177" s="13">
        <f t="shared" si="11"/>
        <v>0</v>
      </c>
      <c r="J177" s="12"/>
      <c r="K177" s="14">
        <f t="shared" si="8"/>
        <v>0</v>
      </c>
      <c r="M177" s="34">
        <f t="shared" si="9"/>
        <v>0</v>
      </c>
      <c r="N177" s="43">
        <f t="shared" si="10"/>
        <v>0</v>
      </c>
    </row>
    <row r="178" spans="1:14" ht="15.75" x14ac:dyDescent="0.25">
      <c r="A178">
        <v>522906</v>
      </c>
      <c r="B178" s="24">
        <v>600</v>
      </c>
      <c r="C178" s="21" t="s">
        <v>121</v>
      </c>
      <c r="D178" s="40">
        <v>50</v>
      </c>
      <c r="E178" s="11"/>
      <c r="F178" s="36">
        <v>0</v>
      </c>
      <c r="G178" s="36">
        <v>0</v>
      </c>
      <c r="H178" s="36">
        <v>0</v>
      </c>
      <c r="I178" s="13">
        <f t="shared" si="11"/>
        <v>0</v>
      </c>
      <c r="J178" s="12"/>
      <c r="K178" s="14">
        <f t="shared" si="8"/>
        <v>0</v>
      </c>
      <c r="M178" s="34">
        <f t="shared" si="9"/>
        <v>0</v>
      </c>
      <c r="N178" s="43">
        <f t="shared" si="10"/>
        <v>0</v>
      </c>
    </row>
    <row r="179" spans="1:14" ht="15.75" x14ac:dyDescent="0.25">
      <c r="A179">
        <v>522907</v>
      </c>
      <c r="B179" s="24">
        <v>600</v>
      </c>
      <c r="C179" s="21" t="s">
        <v>120</v>
      </c>
      <c r="D179" s="40">
        <v>50</v>
      </c>
      <c r="E179" s="11"/>
      <c r="F179" s="36">
        <v>0</v>
      </c>
      <c r="G179" s="36">
        <v>0</v>
      </c>
      <c r="H179" s="36">
        <v>0</v>
      </c>
      <c r="I179" s="13">
        <f t="shared" si="11"/>
        <v>0</v>
      </c>
      <c r="J179" s="12"/>
      <c r="K179" s="14">
        <f t="shared" si="8"/>
        <v>0</v>
      </c>
      <c r="M179" s="34">
        <f t="shared" si="9"/>
        <v>0</v>
      </c>
      <c r="N179" s="43">
        <f t="shared" si="10"/>
        <v>0</v>
      </c>
    </row>
    <row r="180" spans="1:14" ht="15.75" x14ac:dyDescent="0.25">
      <c r="A180">
        <v>522499</v>
      </c>
      <c r="B180" s="20">
        <v>625</v>
      </c>
      <c r="C180" s="21" t="s">
        <v>14</v>
      </c>
      <c r="D180" s="40">
        <v>50</v>
      </c>
      <c r="E180" s="11"/>
      <c r="F180" s="36">
        <v>0</v>
      </c>
      <c r="G180" s="36">
        <v>0</v>
      </c>
      <c r="H180" s="36">
        <v>0</v>
      </c>
      <c r="I180" s="13">
        <f t="shared" si="11"/>
        <v>0</v>
      </c>
      <c r="J180" s="12"/>
      <c r="K180" s="14">
        <f t="shared" si="8"/>
        <v>0</v>
      </c>
      <c r="M180" s="34">
        <f t="shared" si="9"/>
        <v>0</v>
      </c>
      <c r="N180" s="43">
        <f t="shared" si="10"/>
        <v>0</v>
      </c>
    </row>
    <row r="181" spans="1:14" ht="15.75" x14ac:dyDescent="0.25">
      <c r="A181">
        <v>522496</v>
      </c>
      <c r="B181" s="20">
        <v>625</v>
      </c>
      <c r="C181" s="21" t="s">
        <v>127</v>
      </c>
      <c r="D181" s="40">
        <v>50</v>
      </c>
      <c r="E181" s="11"/>
      <c r="F181" s="36">
        <v>0</v>
      </c>
      <c r="G181" s="36">
        <v>0</v>
      </c>
      <c r="H181" s="36">
        <v>0</v>
      </c>
      <c r="I181" s="13">
        <f t="shared" si="11"/>
        <v>0</v>
      </c>
      <c r="J181" s="12"/>
      <c r="K181" s="14">
        <f t="shared" si="8"/>
        <v>0</v>
      </c>
      <c r="M181" s="34">
        <f t="shared" si="9"/>
        <v>0</v>
      </c>
      <c r="N181" s="43">
        <f t="shared" si="10"/>
        <v>0</v>
      </c>
    </row>
    <row r="182" spans="1:14" ht="15.75" x14ac:dyDescent="0.25">
      <c r="A182">
        <v>522498</v>
      </c>
      <c r="B182" s="20">
        <v>625</v>
      </c>
      <c r="C182" s="21" t="s">
        <v>128</v>
      </c>
      <c r="D182" s="40">
        <v>50</v>
      </c>
      <c r="E182" s="11"/>
      <c r="F182" s="36">
        <v>0</v>
      </c>
      <c r="G182" s="36">
        <v>0</v>
      </c>
      <c r="H182" s="36">
        <v>0</v>
      </c>
      <c r="I182" s="13">
        <f t="shared" si="11"/>
        <v>0</v>
      </c>
      <c r="J182" s="12"/>
      <c r="K182" s="14">
        <f t="shared" si="8"/>
        <v>0</v>
      </c>
      <c r="M182" s="34">
        <f t="shared" si="9"/>
        <v>0</v>
      </c>
      <c r="N182" s="43">
        <f t="shared" si="10"/>
        <v>0</v>
      </c>
    </row>
    <row r="183" spans="1:14" ht="15.75" x14ac:dyDescent="0.25">
      <c r="A183">
        <v>522497</v>
      </c>
      <c r="B183" s="20">
        <v>625</v>
      </c>
      <c r="C183" s="21" t="s">
        <v>129</v>
      </c>
      <c r="D183" s="40">
        <v>50</v>
      </c>
      <c r="E183" s="11"/>
      <c r="F183" s="36">
        <v>0</v>
      </c>
      <c r="G183" s="36">
        <v>0</v>
      </c>
      <c r="H183" s="36">
        <v>0</v>
      </c>
      <c r="I183" s="13">
        <f t="shared" si="11"/>
        <v>0</v>
      </c>
      <c r="J183" s="12"/>
      <c r="K183" s="14">
        <f t="shared" si="8"/>
        <v>0</v>
      </c>
      <c r="M183" s="34">
        <f t="shared" si="9"/>
        <v>0</v>
      </c>
      <c r="N183" s="43">
        <f t="shared" si="10"/>
        <v>0</v>
      </c>
    </row>
    <row r="184" spans="1:14" ht="15.75" x14ac:dyDescent="0.25">
      <c r="A184">
        <v>523188</v>
      </c>
      <c r="B184" s="20"/>
      <c r="C184" s="21" t="s">
        <v>130</v>
      </c>
      <c r="D184" s="40">
        <v>9.25</v>
      </c>
      <c r="E184" s="11">
        <v>48</v>
      </c>
      <c r="F184" s="36">
        <v>4</v>
      </c>
      <c r="G184" s="36">
        <v>0</v>
      </c>
      <c r="H184" s="36">
        <v>22</v>
      </c>
      <c r="I184" s="13">
        <f t="shared" si="11"/>
        <v>74</v>
      </c>
      <c r="J184" s="12"/>
      <c r="K184" s="14">
        <f t="shared" si="8"/>
        <v>74</v>
      </c>
      <c r="L184">
        <f>28+46</f>
        <v>74</v>
      </c>
      <c r="M184" s="34">
        <f t="shared" si="9"/>
        <v>0</v>
      </c>
      <c r="N184" s="43">
        <f t="shared" si="10"/>
        <v>684.5</v>
      </c>
    </row>
    <row r="185" spans="1:14" ht="16.5" thickBot="1" x14ac:dyDescent="0.3">
      <c r="B185" s="25"/>
      <c r="C185" s="26"/>
      <c r="D185" s="42"/>
      <c r="E185" s="27"/>
      <c r="F185" s="28"/>
      <c r="G185" s="29"/>
      <c r="H185" s="28"/>
      <c r="I185" s="30"/>
      <c r="J185" s="28"/>
      <c r="K185" s="31"/>
      <c r="L185" t="s">
        <v>138</v>
      </c>
      <c r="N185" s="43">
        <f>SUM(N2:N184)</f>
        <v>85561.5</v>
      </c>
    </row>
    <row r="187" spans="1:14" ht="15.75" x14ac:dyDescent="0.25">
      <c r="C187" s="46" t="s">
        <v>135</v>
      </c>
      <c r="D187" s="47">
        <v>23</v>
      </c>
      <c r="E187" s="48">
        <f>D187-2-4-3</f>
        <v>14</v>
      </c>
    </row>
    <row r="188" spans="1:14" ht="15.75" x14ac:dyDescent="0.25">
      <c r="C188" s="46" t="s">
        <v>136</v>
      </c>
      <c r="D188" s="47">
        <v>23</v>
      </c>
      <c r="E188" s="48">
        <f>D188-1-4-3</f>
        <v>15</v>
      </c>
    </row>
    <row r="189" spans="1:14" ht="15.75" x14ac:dyDescent="0.25">
      <c r="C189" s="46" t="s">
        <v>137</v>
      </c>
      <c r="D189" s="47">
        <v>18</v>
      </c>
      <c r="E189" s="48">
        <f>D189-8-2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06-03-25</vt:lpstr>
      <vt:lpstr>Hoja2</vt:lpstr>
      <vt:lpstr>13-03-25</vt:lpstr>
      <vt:lpstr>14-03-25</vt:lpstr>
      <vt:lpstr>15-03-25</vt:lpstr>
      <vt:lpstr>18-03-25</vt:lpstr>
      <vt:lpstr>19-03-25</vt:lpstr>
      <vt:lpstr>20-03-25</vt:lpstr>
      <vt:lpstr>24-03-25</vt:lpstr>
      <vt:lpstr>25-03-25</vt:lpstr>
      <vt:lpstr>26-03-25</vt:lpstr>
      <vt:lpstr>27-03-25</vt:lpstr>
      <vt:lpstr>29-03-25</vt:lpstr>
      <vt:lpstr>31-03-25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2024-12-02T15:43:53Z</dcterms:created>
  <dcterms:modified xsi:type="dcterms:W3CDTF">2025-03-31T21:48:21Z</dcterms:modified>
</cp:coreProperties>
</file>